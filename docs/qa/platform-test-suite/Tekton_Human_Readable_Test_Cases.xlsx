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All Test Cases" sheetId="2" r:id="rId5"/>
    <sheet state="visible" name="Agentic Builder" sheetId="3" r:id="rId6"/>
    <sheet state="visible" name="Home" sheetId="4" r:id="rId7"/>
    <sheet state="visible" name="Plan Your Visit" sheetId="5" r:id="rId8"/>
    <sheet state="visible" name="Welcome Team" sheetId="6" r:id="rId9"/>
    <sheet state="visible" name="Serve" sheetId="7" r:id="rId10"/>
    <sheet state="visible" name="Sermon Notes" sheetId="8" r:id="rId11"/>
    <sheet state="visible" name="Calendar" sheetId="9" r:id="rId12"/>
    <sheet state="visible" name="Give" sheetId="10" r:id="rId13"/>
    <sheet state="visible" name="Prayer Map" sheetId="11" r:id="rId14"/>
    <sheet state="visible" name="About - Our Story" sheetId="12" r:id="rId15"/>
    <sheet state="visible" name="About - Beliefs" sheetId="13" r:id="rId16"/>
    <sheet state="visible" name="About - News" sheetId="14" r:id="rId17"/>
    <sheet state="visible" name="About - Directory" sheetId="15" r:id="rId18"/>
    <sheet state="visible" name="About - Connect" sheetId="16" r:id="rId19"/>
    <sheet state="visible" name="Admin - Staff" sheetId="17" r:id="rId20"/>
    <sheet state="visible" name="Admin - Setup" sheetId="18" r:id="rId21"/>
    <sheet state="visible" name="Sitewide Chat" sheetId="19" r:id="rId22"/>
  </sheets>
  <definedNames>
    <definedName hidden="1" localSheetId="1" name="_xlnm._FilterDatabase">'All Test Cases'!$A$1:$G$181</definedName>
    <definedName hidden="1" localSheetId="2" name="_xlnm._FilterDatabase">'Agentic Builder'!$A$1:$G$21</definedName>
    <definedName hidden="1" localSheetId="3" name="_xlnm._FilterDatabase">Home!$A$1:$G$11</definedName>
    <definedName hidden="1" localSheetId="4" name="_xlnm._FilterDatabase">'Plan Your Visit'!$A$1:$G$11</definedName>
    <definedName hidden="1" localSheetId="5" name="_xlnm._FilterDatabase">'Welcome Team'!$A$1:$G$11</definedName>
    <definedName hidden="1" localSheetId="6" name="_xlnm._FilterDatabase">Serve!$A$1:$G$11</definedName>
    <definedName hidden="1" localSheetId="7" name="_xlnm._FilterDatabase">'Sermon Notes'!$A$1:$G$11</definedName>
    <definedName hidden="1" localSheetId="8" name="_xlnm._FilterDatabase">Calendar!$A$1:$G$11</definedName>
    <definedName hidden="1" localSheetId="9" name="_xlnm._FilterDatabase">Give!$A$1:$G$11</definedName>
    <definedName hidden="1" localSheetId="10" name="_xlnm._FilterDatabase">'Prayer Map'!$A$1:$G$11</definedName>
    <definedName hidden="1" localSheetId="11" name="_xlnm._FilterDatabase">'About - Our Story'!$A$1:$G$11</definedName>
    <definedName hidden="1" localSheetId="12" name="_xlnm._FilterDatabase">'About - Beliefs'!$A$1:$G$11</definedName>
    <definedName hidden="1" localSheetId="13" name="_xlnm._FilterDatabase">'About - News'!$A$1:$G$11</definedName>
    <definedName hidden="1" localSheetId="14" name="_xlnm._FilterDatabase">'About - Directory'!$A$1:$G$11</definedName>
    <definedName hidden="1" localSheetId="15" name="_xlnm._FilterDatabase">'About - Connect'!$A$1:$G$11</definedName>
    <definedName hidden="1" localSheetId="16" name="_xlnm._FilterDatabase">'Admin - Staff'!$A$1:$G$11</definedName>
    <definedName hidden="1" localSheetId="17" name="_xlnm._FilterDatabase">'Admin - Setup'!$A$1:$G$11</definedName>
    <definedName hidden="1" localSheetId="18" name="_xlnm._FilterDatabase">'Sitewide Chat'!$A$1:$G$11</definedName>
  </definedNames>
  <calcPr/>
  <extLst>
    <ext uri="GoogleSheetsCustomDataVersion2">
      <go:sheetsCustomData xmlns:go="http://customooxmlschemas.google.com/" r:id="rId23" roundtripDataChecksum="co9AkpqDeOmcLyuzmN5kAoyFOPkd6MxYXwdezKa38LA="/>
    </ext>
  </extLst>
</workbook>
</file>

<file path=xl/sharedStrings.xml><?xml version="1.0" encoding="utf-8"?>
<sst xmlns="http://schemas.openxmlformats.org/spreadsheetml/2006/main" count="1276" uniqueCount="784">
  <si>
    <t>Tekton Platform &amp; Agentic Builder - QA Test Suite</t>
  </si>
  <si>
    <t>Interactive Manual QA Dashboard — Live Dynamic Formulas Linked Across All Page Sheets</t>
  </si>
  <si>
    <t>TOTAL TEST CASES</t>
  </si>
  <si>
    <t>PASSED</t>
  </si>
  <si>
    <t>FAILED</t>
  </si>
  <si>
    <t>UNKNOWN / UNTESTED</t>
  </si>
  <si>
    <t>OVERALL % SUCCESS</t>
  </si>
  <si>
    <t>Test Execution Breakdown by Page &amp; Feature (Formulas Connected to Page Sheets)</t>
  </si>
  <si>
    <t>Feature / Page Area</t>
  </si>
  <si>
    <t>Target Route</t>
  </si>
  <si>
    <t>Total Test Cases</t>
  </si>
  <si>
    <t>Passed</t>
  </si>
  <si>
    <t>Failed</t>
  </si>
  <si>
    <t>Unknown / Untested</t>
  </si>
  <si>
    <t>% Success (Pass Rate)</t>
  </si>
  <si>
    <t>Primary Scope / Capabilities Verified</t>
  </si>
  <si>
    <t>Agentic Builder</t>
  </si>
  <si>
    <t>#/new</t>
  </si>
  <si>
    <t>Natural language editing, URL crawl, PDF/OCR vision extraction, conflict reconciliation, grounding, undo</t>
  </si>
  <si>
    <t>Home</t>
  </si>
  <si>
    <t>#/</t>
  </si>
  <si>
    <t>Hero CTAs, feature navigation, giving progress bar, ministries list, recent sermons, contact block</t>
  </si>
  <si>
    <t>Plan Your Visit</t>
  </si>
  <si>
    <t>#/guests/plan</t>
  </si>
  <si>
    <t>RSVP form submission, validation, campus parking map selection, arrival flow, FAQ accordion</t>
  </si>
  <si>
    <t>Welcome Team</t>
  </si>
  <si>
    <t>#/guests/welcome</t>
  </si>
  <si>
    <t>Staff-only arrival queue, host claiming, notifications, arrival time metrics, live polling</t>
  </si>
  <si>
    <t>Serve</t>
  </si>
  <si>
    <t>#/serve</t>
  </si>
  <si>
    <t>Keyword search, urgent needs filter, AI matching recommendations, bookmarking, staff request queue</t>
  </si>
  <si>
    <t>Sermon Notes</t>
  </si>
  <si>
    <t>#/notes</t>
  </si>
  <si>
    <t>Transcript browsing, AI sermon Q&amp;A with timestamps, media playback sync, YouVersion verse lookup, upload</t>
  </si>
  <si>
    <t>Calendar</t>
  </si>
  <si>
    <t>#/calendar</t>
  </si>
  <si>
    <t>Monthly grid &amp; list views, category filter, keyword search, month navigation, staff event CRUD</t>
  </si>
  <si>
    <t>Give</t>
  </si>
  <si>
    <t>#/give</t>
  </si>
  <si>
    <t>Donation presets, custom amounts, fund selector, recurring monthly toggle, Stripe checkout, trips</t>
  </si>
  <si>
    <t>Prayer Map</t>
  </si>
  <si>
    <t>#/prayer</t>
  </si>
  <si>
    <t>Leaflet world map, country prayer beacons, verified news pins, sensitive country anonymization</t>
  </si>
  <si>
    <t>About - Our Story</t>
  </si>
  <si>
    <t>#/about</t>
  </si>
  <si>
    <t>Mission statement, narrative story, core value cards, visit block, provenance quote inspect</t>
  </si>
  <si>
    <t>About - Beliefs</t>
  </si>
  <si>
    <t>#/about/beliefs</t>
  </si>
  <si>
    <t>Doctrinal preamble, numbered belief articles, custom imported beliefs, sub-navigation</t>
  </si>
  <si>
    <t>About - News</t>
  </si>
  <si>
    <t>#/about/news</t>
  </si>
  <si>
    <t>Updates vs articles filter, taxonomy tags, AI 3-bullet summary, staff post publishing &amp; moderation</t>
  </si>
  <si>
    <t>About - Directory</t>
  </si>
  <si>
    <t>#/about/directory</t>
  </si>
  <si>
    <t>Staff search, role filtering, click-to-call, click-to-email, office hours, ministry leaders</t>
  </si>
  <si>
    <t>About - Connect</t>
  </si>
  <si>
    <t>#/about/connect</t>
  </si>
  <si>
    <t>Next step pathways, small groups directory, imported external forms, email inquiry mailto generator</t>
  </si>
  <si>
    <t>Admin - Staff</t>
  </si>
  <si>
    <t>#/staff</t>
  </si>
  <si>
    <t>Staff sign-in, Stripe onboarding, funds management, trip applications review, donor gifts ledger</t>
  </si>
  <si>
    <t>Admin - Setup</t>
  </si>
  <si>
    <t>#/setup</t>
  </si>
  <si>
    <t>Church branding, contact details, service times management, FAQs CRUD, ministries provisioning</t>
  </si>
  <si>
    <t>Sitewide Chat</t>
  </si>
  <si>
    <t>Global Widget</t>
  </si>
  <si>
    <t>Chat launcher, starter pills, scheduled event queries, volunteer inquiry, prayer request handoff</t>
  </si>
  <si>
    <t>Suite Total / Rollup</t>
  </si>
  <si>
    <t>All 17 Areas</t>
  </si>
  <si>
    <t>Dynamic rollup tracking user-tested execution progress across all 17 page sheets</t>
  </si>
  <si>
    <t>Name of Test Case</t>
  </si>
  <si>
    <t>Category</t>
  </si>
  <si>
    <t>Name of Page</t>
  </si>
  <si>
    <t>Action to Take</t>
  </si>
  <si>
    <t>Expected Outcome</t>
  </si>
  <si>
    <t>Outcome/Result</t>
  </si>
  <si>
    <t>Pass/Fail</t>
  </si>
  <si>
    <t>Ask AI to change pastor name</t>
  </si>
  <si>
    <t>Natural Language Editing</t>
  </si>
  <si>
    <t>Builder</t>
  </si>
  <si>
    <t>In review screen or preview banner, enter 'Change pastor name to Pastor John Mark' into Tekton edit box and click 'Change it'.</t>
  </si>
  <si>
    <t>Agent identifies lead pastor in staff collection, updates name to 'Pastor John Mark', confirms with 'Changed pastor to Pastor John Mark', and increments undo count.</t>
  </si>
  <si>
    <t>Unknown</t>
  </si>
  <si>
    <t>Reorder sections: Put service times above ministries</t>
  </si>
  <si>
    <t>Natural Language Layout</t>
  </si>
  <si>
    <t>Type 'Put service times above ministries' in Tekton edit box and click 'Change it'.</t>
  </si>
  <si>
    <t>Deterministic layout rule detects service_times and ministries on Home, moves service times before ministries, and confirms 'Moved Service times on Home above Ministries'.</t>
  </si>
  <si>
    <t>Hide specific ministry: Hide the youth ministry</t>
  </si>
  <si>
    <t>Natural Language Visibility</t>
  </si>
  <si>
    <t>Type 'Hide the youth ministry' into Tekton edit input and click 'Change it'.</t>
  </si>
  <si>
    <t>Agent matches 'Youth Ministry' in ministries collection, sets include: false, and replies 'Left out Youth Ministry'.</t>
  </si>
  <si>
    <t>Move section to top: Move what to expect to the top</t>
  </si>
  <si>
    <t>Type 'Move what to expect to the top' into Tekton edit input and click 'Change it'.</t>
  </si>
  <si>
    <t>Layout engine moves what_to_expect section on Plan your visit page to index 0 and replies 'Moved What to expect on Plan your visit to the top'.</t>
  </si>
  <si>
    <t>Update church phone number via plain text command</t>
  </si>
  <si>
    <t>Natural Language Detail Update</t>
  </si>
  <si>
    <t>Type 'Change the phone number to (555) 019-9988' into Tekton edit input and click 'Change it'.</t>
  </si>
  <si>
    <t>Agent parses new phone format, validates number, updates church contact phone field, and replies 'Changed phone to (555) 019-9988'.</t>
  </si>
  <si>
    <t>Undo previous edit operation</t>
  </si>
  <si>
    <t>Revision Control</t>
  </si>
  <si>
    <t>Click 'Undo' button after executing a section reordering or detail change.</t>
  </si>
  <si>
    <t>Restores previous draft snapshot state from undo stack, decrements undo count, and announces reversed changes.</t>
  </si>
  <si>
    <t>Import website from live URL (Happy path crawl)</t>
  </si>
  <si>
    <t>URL Crawl &amp; Ingestion</t>
  </si>
  <si>
    <t>Select 'Import a website', enter 'https://cedarhollow.example.org', and click 'Start import'.</t>
  </si>
  <si>
    <t>Crawler reads sitemap and top pages within robots.txt limits, extracts name, address, phone, email, and service times with 0 false conflicts, and transitions to review.</t>
  </si>
  <si>
    <t>Detect conflicting service times from messy site</t>
  </si>
  <si>
    <t>Conflict Detection</t>
  </si>
  <si>
    <t>Import URL containing conflicting times: 'Sundays 9 &amp; 11' on home page and 'Sunday 10:30am' on news post.</t>
  </si>
  <si>
    <t>Draft status transitions to clarifying; displays conflict question card showing both candidate times with verbatim source quotes and page links.</t>
  </si>
  <si>
    <t>Resolve service time conflict by picking candidate card</t>
  </si>
  <si>
    <t>Human Clarification Flow</t>
  </si>
  <si>
    <t>On service times conflict card, click candidate 'Sunday 9:00 AM, Sunday 11:00 AM' and click 'Confirm answer'.</t>
  </si>
  <si>
    <t>Selected service times are locked into confirmed status with provenance attribution; builder advances to next question or review.</t>
  </si>
  <si>
    <t>Prompt for missing required address and accept manual input</t>
  </si>
  <si>
    <t>Gap Detection &amp; Form Validation</t>
  </si>
  <si>
    <t>When presented with 'We could not find street address', type '100 Faith Way, Springfield, IL 62701' into input and submit.</t>
  </si>
  <si>
    <t>Manual address entry is validated, saved to draft with confirmed status ('You confirmed this'), and question resolves.</t>
  </si>
  <si>
    <t>Ingest PDF church bulletin and extract facts</t>
  </si>
  <si>
    <t>Document Extraction - PDF</t>
  </si>
  <si>
    <t>Select 'Upload files', drag and drop a 2 MB weekly church bulletin PDF containing service times and pastor bio, and click 'Read files'.</t>
  </si>
  <si>
    <t>Server parses PDF text streams, applies NLP regex patterns, extracts service times and staff items, and displays quotes referencing PDF filename.</t>
  </si>
  <si>
    <t>Ingest church flyer image via Vision AI OCR</t>
  </si>
  <si>
    <t>Multimodal Vision Extraction</t>
  </si>
  <si>
    <t>Upload church flyer image (JPEG/PNG) displaying worship schedule and logo.</t>
  </si>
  <si>
    <t>Vision AI transcribes image text into machine-readable prose; rules parser extracts church schedule and logo reference.</t>
  </si>
  <si>
    <t>Reject file upload exceeding 10 MB total size limit</t>
  </si>
  <si>
    <t>Security &amp; File Validation</t>
  </si>
  <si>
    <t>Select 3 PDF files totaling 14 MB and click 'Read files'.</t>
  </si>
  <si>
    <t>Client and server reject upload with error: 'Choose 1 to 5 files, each 5 MB or smaller and at most 10 MB in total.' without crashing.</t>
  </si>
  <si>
    <t>Enforce robots.txt Disallow and Crawl-delay rules</t>
  </si>
  <si>
    <t>Crawler Compliance</t>
  </si>
  <si>
    <t>Import site whose robots.txt disallows '/members/*' and sets 'Crawl-delay: 2'.</t>
  </si>
  <si>
    <t>Crawler strictly skips disallowed URLs under /members/, applies 2-second rate limit between fetches, and notes compliance in draft notes.</t>
  </si>
  <si>
    <t>Reject private IP and localhost URLs (SSRF Guard)</t>
  </si>
  <si>
    <t>Network Security &amp; SSRF Prevention</t>
  </si>
  <si>
    <t>Enter 'http://127.0.0.1:8000' or 'http://192.168.1.1' into website import input and click 'Start import'.</t>
  </si>
  <si>
    <t>System rejects private network URL with security validation error stating private addresses cannot be imported.</t>
  </si>
  <si>
    <t>Request theme color change via natural language prompt</t>
  </si>
  <si>
    <t>Natural Language Theming</t>
  </si>
  <si>
    <t>In TektonEdit input, enter 'Change site primary color theme to royal navy blue and gold' and click 'Change it'.</t>
  </si>
  <si>
    <t>Builder updates site theme palette to navy blue and gold in session site theme configuration.</t>
  </si>
  <si>
    <t>Request subjective marketing / theological copy generation</t>
  </si>
  <si>
    <t>Content Generation Guardrail</t>
  </si>
  <si>
    <t>Enter 'Write a 3-paragraph welcome message emphasizing Reformed doctrine and warm fellowship' and click 'Change it'.</t>
  </si>
  <si>
    <t>Agent generates and injects new custom welcome prose onto Home page.</t>
  </si>
  <si>
    <t>Ingest scanned bulletin PDF without Vision AI configured</t>
  </si>
  <si>
    <t>Multimodal Vision Degradation</t>
  </si>
  <si>
    <t>Upload a scanned image-only PDF bulletin while the Vision AI model is offline or unconfigured.</t>
  </si>
  <si>
    <t>System automatically performs OCR and extracts service times from scanned pages.</t>
  </si>
  <si>
    <t>Crawl website with 500 server error on robots.txt</t>
  </si>
  <si>
    <t>Robots.txt Policy Enforcement</t>
  </si>
  <si>
    <t>Import website URL where robots.txt endpoint times out or returns HTTP 500 error.</t>
  </si>
  <si>
    <t>Crawler skips robots.txt check and proceeds to crawl public sitemap pages.</t>
  </si>
  <si>
    <t>Publish live production church without invite code</t>
  </si>
  <si>
    <t>Tenant Provisioning Guardrail</t>
  </si>
  <si>
    <t>On preview screen, attempt to provision and deploy a new live church tenant without entering an invite code.</t>
  </si>
  <si>
    <t>System provisions new church tenant and deploys public domain.</t>
  </si>
  <si>
    <t>Hero CTA: Find a place to serve button</t>
  </si>
  <si>
    <t>Navigation &amp; User Flow</t>
  </si>
  <si>
    <t>Click 'Find a place to serve' primary button on the hero banner.</t>
  </si>
  <si>
    <t>Application navigates directly to '#/serve/find' volunteer matching page.</t>
  </si>
  <si>
    <t>Hero CTA: Planning your first visit button</t>
  </si>
  <si>
    <t>Click 'Planning your first visit?' secondary button on the hero banner.</t>
  </si>
  <si>
    <t>Application navigates directly to '#/guests/plan' first-time guest page.</t>
  </si>
  <si>
    <t>Hero CTA: Ask Tekton chat launcher</t>
  </si>
  <si>
    <t>AI Assistant Integration</t>
  </si>
  <si>
    <t>Click 'Ask Tekton' button with chat icon in the hero banner.</t>
  </si>
  <si>
    <t>Sitewide chat assistant drawer slides open from right with greeting message.</t>
  </si>
  <si>
    <t>Serve feature card navigation</t>
  </si>
  <si>
    <t>Feature Card Routing</t>
  </si>
  <si>
    <t>Click 'Serve' feature card in the main features grid.</t>
  </si>
  <si>
    <t>Navigates to '#/serve' ministries directory overview page.</t>
  </si>
  <si>
    <t>Sermon Notes feature card navigation</t>
  </si>
  <si>
    <t>Click 'Sermon Notes' feature card in the main features grid.</t>
  </si>
  <si>
    <t>Navigates to '#/notes' sermon notes transcript archive.</t>
  </si>
  <si>
    <t>Give feature card goal progress bar display</t>
  </si>
  <si>
    <t>Fundraising Goal Tracking</t>
  </si>
  <si>
    <t>Inspect Give feature card when a church fund has an active fundraising goal.</t>
  </si>
  <si>
    <t>Card displays fund name, raised amount, goal amount, and accurately styled visual percentage progress bar.</t>
  </si>
  <si>
    <t>Get to know us directory quick button</t>
  </si>
  <si>
    <t>Quick Links Navigation</t>
  </si>
  <si>
    <t>Click 'Contact directory' button in the 'Get to know us' section.</t>
  </si>
  <si>
    <t>Navigates directly to '#/about/directory' staff contact listing.</t>
  </si>
  <si>
    <t>Service times and address card rendering</t>
  </si>
  <si>
    <t>Visitor Information</t>
  </si>
  <si>
    <t>Inspect 'Service times' block on the Home page.</t>
  </si>
  <si>
    <t>Displays weekly gathering schedule (e.g. 'Sunday 9:00 AM &amp; 11:00 AM') and church physical address with location pin icon.</t>
  </si>
  <si>
    <t>Watch Live external link when livestream is unconfigured</t>
  </si>
  <si>
    <t>Livestream Integration</t>
  </si>
  <si>
    <t>Click 'Watch live' hero action button when church has no active livestream URL configured.</t>
  </si>
  <si>
    <t>Displays friendly popup indicating no active broadcast is currently streaming.</t>
  </si>
  <si>
    <t>Hero about text rendering on new unconfigured church</t>
  </si>
  <si>
    <t>Tenant Onboarding Display</t>
  </si>
  <si>
    <t>Open Home page for newly provisioned church with no about description provided.</t>
  </si>
  <si>
    <t>Displays elegant onboarding prompt guiding visitors and staff to add story.</t>
  </si>
  <si>
    <t>Submit guest visit RSVP registration form</t>
  </si>
  <si>
    <t>Guest Registration Flow</t>
  </si>
  <si>
    <t>Guests - Plan Your Visit</t>
  </si>
  <si>
    <t>Fill in name 'Sarah Jenkins', contact 'sarah@example.org', select 'Sunday 9:00 AM', party size 3, and click 'Let us know you’re coming'.</t>
  </si>
  <si>
    <t>Form submits to POST /api/visits, receives visit token, saves token to localStorage, and updates UI to registered state.</t>
  </si>
  <si>
    <t>Validate required fields in visit registration</t>
  </si>
  <si>
    <t>Form Validation</t>
  </si>
  <si>
    <t>Leave name and contact fields blank and click 'Let us know you’re coming'.</t>
  </si>
  <si>
    <t>Browser displays HTML5 validation prompt on required name and contact inputs; submission is halted.</t>
  </si>
  <si>
    <t>Select service time from dynamic dropdown</t>
  </si>
  <si>
    <t>Form Interaction</t>
  </si>
  <si>
    <t>Click service time dropdown and select second gathering 'Sunday 11:00 AM'.</t>
  </si>
  <si>
    <t>Selected service time state updates and is included in the visit payload.</t>
  </si>
  <si>
    <t>Toggle 'I’d like someone to meet me' host checkbox</t>
  </si>
  <si>
    <t>Hospitality Preferences</t>
  </si>
  <si>
    <t>Uncheck the 'I’d like someone to meet me at the front doors' checkbox.</t>
  </si>
  <si>
    <t>wantsHost state sets to false; submitted visit payload reflects 'wants_host: false'.</t>
  </si>
  <si>
    <t>Click 'I’m on my way' arrival notification button</t>
  </si>
  <si>
    <t>Guest Arrival Flow</t>
  </si>
  <si>
    <t>On the confirmed visit card, click 'I’m on my way' button.</t>
  </si>
  <si>
    <t>Visits API updates status to 'on_the_way'; welcome team queue receives live status update.</t>
  </si>
  <si>
    <t>Click 'I have arrived' check-in button</t>
  </si>
  <si>
    <t>On confirmed visit card, click 'I have arrived' button.</t>
  </si>
  <si>
    <t>Visits API updates status to 'arrived'; triggers desktop notification on welcome team workstation.</t>
  </si>
  <si>
    <t>Expand FAQ accordion to read answer</t>
  </si>
  <si>
    <t>Content Disclosure</t>
  </si>
  <si>
    <t>Click on question 'What should I wear?' in the FAQ section.</t>
  </si>
  <si>
    <t>Accordion item expands revealing helpful answer about casual attire.</t>
  </si>
  <si>
    <t>Open Google Maps directions link</t>
  </si>
  <si>
    <t>External Navigation</t>
  </si>
  <si>
    <t>Click 'Get directions' button next to the church address.</t>
  </si>
  <si>
    <t>Opens Google Maps search query with church street address in new browser tab.</t>
  </si>
  <si>
    <t>Interactive parking spot selection on mobile Safari touchscreens</t>
  </si>
  <si>
    <t>Touchscreen Mapping</t>
  </si>
  <si>
    <t>Tap parking spot on campus SVG map using an iOS Safari mobile browser.</t>
  </si>
  <si>
    <t>Spot highlights and selection binds to form payload.</t>
  </si>
  <si>
    <t>Guest RSVP submission with international phone number format</t>
  </si>
  <si>
    <t>Input Sanitization &amp; Regex</t>
  </si>
  <si>
    <t>Enter international format contact number '+44 20 7946 0958' in RSVP contact field.</t>
  </si>
  <si>
    <t>Validates international phone format and registers visit.</t>
  </si>
  <si>
    <t>Block unauthorized visitor access to welcome queue</t>
  </si>
  <si>
    <t>Access Control</t>
  </si>
  <si>
    <t>Guests - Welcome Team</t>
  </si>
  <si>
    <t>Navigate to '#/guests/welcome' as an unauthenticated public visitor.</t>
  </si>
  <si>
    <t>Welcome queue is hidden; displays 'StaffOnly' notice prompting staff sign-in.</t>
  </si>
  <si>
    <t>Display arrived guests queue for signed-in staff</t>
  </si>
  <si>
    <t>Queue Visibility</t>
  </si>
  <si>
    <t>Sign in as staff and open '#/guests/welcome'.</t>
  </si>
  <si>
    <t>Displays WelcomeQueue component showing waiting list and planned guests list.</t>
  </si>
  <si>
    <t>Persist host staff name in local storage</t>
  </si>
  <si>
    <t>Host Identity</t>
  </si>
  <si>
    <t>Type host name 'Brother David' into 'Your name' field and reload page.</t>
  </si>
  <si>
    <t>Host name 'Brother David' is saved to localStorage and restored on reload.</t>
  </si>
  <si>
    <t>Claim an arrived guest from waiting queue</t>
  </si>
  <si>
    <t>Host Assignment</t>
  </si>
  <si>
    <t>Click 'I’ll meet them' button on a waiting guest card.</t>
  </si>
  <si>
    <t>Calls POST /visits/:id/claim with hostName; marks guest as claimed by Brother David.</t>
  </si>
  <si>
    <t>Dismiss welcomed guest from queue</t>
  </si>
  <si>
    <t>Status Lifecycle</t>
  </si>
  <si>
    <t>Click 'Welcomed' checkmark button on a claimed guest card.</t>
  </si>
  <si>
    <t>Calls PATCH /visits/:id with status 'welcomed'; removes guest from active waiting list.</t>
  </si>
  <si>
    <t>Display accurate party size and host preference tags</t>
  </si>
  <si>
    <t>Metadata Rendering</t>
  </si>
  <si>
    <t>Inspect waiting guest card for party of 4 who prefers not to be met.</t>
  </si>
  <si>
    <t>Card displays 'Party of 4' badge and muted notice 'Prefers not to be met at door'.</t>
  </si>
  <si>
    <t>Display elapsed waiting time counter</t>
  </si>
  <si>
    <t>Queue Metrics</t>
  </si>
  <si>
    <t>Observe waiting guest card for guest who arrived 6 minutes ago.</t>
  </si>
  <si>
    <t>Displays elapsed waiting counter 'Arrived 6m ago' updating periodically.</t>
  </si>
  <si>
    <t>Real-time queue polling updates without refresh</t>
  </si>
  <si>
    <t>Real-time Synchronization</t>
  </si>
  <si>
    <t>Keep Welcome Team screen open while a new guest checks in on another device.</t>
  </si>
  <si>
    <t>Background 5-second interval poll detects new arrival and adds card to queue with arrival chime/alert.</t>
  </si>
  <si>
    <t>Browser arrival push notifications on mobile browsers (iOS / Android)</t>
  </si>
  <si>
    <t>Web Push Notifications</t>
  </si>
  <si>
    <t>Tap 'Enable arrival notifications' on iOS Safari or mobile web browser.</t>
  </si>
  <si>
    <t>Native browser arrival push notifications fire when guest arrives.</t>
  </si>
  <si>
    <t>Concurrent guest claim race condition between two hosts</t>
  </si>
  <si>
    <t>Concurrency &amp; Locking</t>
  </si>
  <si>
    <t>Two welcome hosts click 'I’ll meet them' on the same arrived guest card within 1 second.</t>
  </si>
  <si>
    <t>Optimistic concurrency lock notifies second host that guest was already claimed by another team member.</t>
  </si>
  <si>
    <t>Filter serving teams by keyword search</t>
  </si>
  <si>
    <t>Search &amp; Filtering</t>
  </si>
  <si>
    <t>Type 'worship' into ministry search input field.</t>
  </si>
  <si>
    <t>List filters instantly to ministries containing 'worship' in name, description, or category.</t>
  </si>
  <si>
    <t>Toggle 'Urgent needs only' filter checkbox</t>
  </si>
  <si>
    <t>Urgency Triage</t>
  </si>
  <si>
    <t>Click 'Urgent needs only' filter button.</t>
  </si>
  <si>
    <t>Displays only ministries where unfilled volunteer slots are 35% or higher, with urgent badge.</t>
  </si>
  <si>
    <t>Expand ministry card to inspect team leader and roles</t>
  </si>
  <si>
    <t>Detail Disclosure</t>
  </si>
  <si>
    <t>Click on 'Kids Ministry' card in the serving grid.</t>
  </si>
  <si>
    <t>Detailed drawer opens showing team description, time commitments, and ministry leader contact.</t>
  </si>
  <si>
    <t>Bookmark recommended ministry to saved shortlist</t>
  </si>
  <si>
    <t>Shortlist Management</t>
  </si>
  <si>
    <t>Click 'Save to shortlist' bookmark icon on 'Worship Collective' recommendation card.</t>
  </si>
  <si>
    <t>Ministry is added to local saved list; navigation badge count increments by 1.</t>
  </si>
  <si>
    <t>View saved ministries tab</t>
  </si>
  <si>
    <t>Shortlist Review</t>
  </si>
  <si>
    <t>Click 'Saved' sub-navigation tab ('#/serve/saved').</t>
  </si>
  <si>
    <t>Displays all bookmarked serving opportunities with option to submit interest request.</t>
  </si>
  <si>
    <t>Staff view of filed volunteer connection requests</t>
  </si>
  <si>
    <t>Staff Queue Management</t>
  </si>
  <si>
    <t>Sign in as staff and open '#/serve/saved' requests queue.</t>
  </si>
  <si>
    <t>Staff sees full list of member-submitted volunteer inquiries and chat connection requests.</t>
  </si>
  <si>
    <t>Staff approves volunteer connection request</t>
  </si>
  <si>
    <t>Workflow State Change</t>
  </si>
  <si>
    <t>Click 'Connect' checkmark button on a pending volunteer request.</t>
  </si>
  <si>
    <t>Calls PATCH /requests/:id with status 'connected'; moves request to active connections list.</t>
  </si>
  <si>
    <t>Staff archives or deletes processed request</t>
  </si>
  <si>
    <t>Queue Cleanup</t>
  </si>
  <si>
    <t>Click 'Remove' trash icon on an archived volunteer request.</t>
  </si>
  <si>
    <t>Calls DELETE /requests/:id; removes request card from staff queue view.</t>
  </si>
  <si>
    <t>AI volunteer matching with single-word generic input</t>
  </si>
  <si>
    <t>AI Recommendation Bounds</t>
  </si>
  <si>
    <t>On volunteer finder, enter single word 'anything' into gifts input and click 'Find matching places'.</t>
  </si>
  <si>
    <t>Prompts user to specify gifts/skills or provides general serving opportunities.</t>
  </si>
  <si>
    <t>Real-time staff queue update across multiple browser sessions</t>
  </si>
  <si>
    <t>Cross-client Synchronization</t>
  </si>
  <si>
    <t>Visitor files a volunteer request in chat; observe staff queue on a separate un-refreshed staff browser.</t>
  </si>
  <si>
    <t>Staff queue updates automatically via WebSocket or background push without manual reload.</t>
  </si>
  <si>
    <t>Browse sermon catalog and open message</t>
  </si>
  <si>
    <t>Content Discovery</t>
  </si>
  <si>
    <t>Click on sermon card 'The Heart of the Father - Luke 15' in sermon list.</t>
  </si>
  <si>
    <t>Navigates to '#/notes/:id'; loads full sermon transcript, media player, and AI ask panel.</t>
  </si>
  <si>
    <t>Ask AI question about sermon content</t>
  </si>
  <si>
    <t>AI Sermon Q&amp;A</t>
  </si>
  <si>
    <t>In sermon ask box, type 'What did the pastor say about the older brother?' and click Ask.</t>
  </si>
  <si>
    <t>AI queries sermon embeddings, returns answer summarizing pastor's points, and quotes verbatim sentences with timestamps.</t>
  </si>
  <si>
    <t>Click transcript timestamp to seek media player</t>
  </si>
  <si>
    <t>Media Synchronization</t>
  </si>
  <si>
    <t>Click timestamp link '[14:32]' inside sermon transcript text.</t>
  </si>
  <si>
    <t>Audio/video player seeks immediately to 14 minutes 32 seconds and starts playback.</t>
  </si>
  <si>
    <t>Toggle 'Bible quotes' highlight filter</t>
  </si>
  <si>
    <t>Transcript Annotation</t>
  </si>
  <si>
    <t>Click 'Bible quotes' button in highlight categories toggle bar.</t>
  </si>
  <si>
    <t>All direct Scripture quotations in transcript highlight with gold background styling.</t>
  </si>
  <si>
    <t>Tap scripture highlight to open YouVersion verse card</t>
  </si>
  <si>
    <t>Scripture Integration</t>
  </si>
  <si>
    <t>Click highlighted Bible reference 'Romans 8:28' in sermon transcript.</t>
  </si>
  <si>
    <t>VerseCard popover opens displaying full text of Romans 8:28 fetched from Bible API.</t>
  </si>
  <si>
    <t>Switch preferred Bible translation in reader preferences</t>
  </si>
  <si>
    <t>User Preferences</t>
  </si>
  <si>
    <t>Open reader settings and change translation from NIV to ESV.</t>
  </si>
  <si>
    <t>Passage references reload with English Standard Version text; preference saved to localStorage.</t>
  </si>
  <si>
    <t>Adjust transcript font size for accessibility</t>
  </si>
  <si>
    <t>Accessibility &amp; Display</t>
  </si>
  <si>
    <t>Click font size '+' button in reader toolbar.</t>
  </si>
  <si>
    <t>Transcript body text size increases from 16px to 19px for enhanced readability.</t>
  </si>
  <si>
    <t>Staff creates new sermon note via YouTube URL</t>
  </si>
  <si>
    <t>Media Ingestion - YouTube</t>
  </si>
  <si>
    <t>Sign in as staff, click '+ New note', enter valid YouTube link, title 'Sunday Service', and click 'Create note'.</t>
  </si>
  <si>
    <t>Backend queues YouTube audio download and Whisper transcription job; sermon status becomes 'queued'.</t>
  </si>
  <si>
    <t>Process sermon video with bot-protected YouTube URL</t>
  </si>
  <si>
    <t>Submit a YouTube sermon URL that requires bot challenge or sign-in verification.</t>
  </si>
  <si>
    <t>System bypasses bot challenge and downloads audio for transcription.</t>
  </si>
  <si>
    <t>Upload video file exceeding 95 MB limit</t>
  </si>
  <si>
    <t>File Upload Validation</t>
  </si>
  <si>
    <t>Attach 120 MB MP4 sermon recording and click 'Create note'.</t>
  </si>
  <si>
    <t>Client-side file validation prevents upload and shows clear file size guidance.</t>
  </si>
  <si>
    <t>Toggle between monthly calendar grid and upcoming list view</t>
  </si>
  <si>
    <t>View Mode Switching</t>
  </si>
  <si>
    <t>Click 'List view' button in the calendar toolbar.</t>
  </si>
  <si>
    <t>Display changes from 7-day monthly grid to chronological list view grouped by date.</t>
  </si>
  <si>
    <t>Filter calendar events by category</t>
  </si>
  <si>
    <t>Category Filtering</t>
  </si>
  <si>
    <t>Click category filter button 'Youth &amp; Kids'.</t>
  </si>
  <si>
    <t>Calendar highlights/shows only events tagged with 'Youth &amp; Kids' category.</t>
  </si>
  <si>
    <t>Search calendar gatherings by keyword</t>
  </si>
  <si>
    <t>Keyword Search</t>
  </si>
  <si>
    <t>Type 'prayer' into calendar search bar.</t>
  </si>
  <si>
    <t>Filters calendar display to events containing 'prayer' in title or description.</t>
  </si>
  <si>
    <t>Navigate across calendar months</t>
  </si>
  <si>
    <t>Date Navigation</t>
  </si>
  <si>
    <t>Click 'Next month' arrow button in calendar header.</t>
  </si>
  <si>
    <t>Calendar advances to next month (e.g. November 2026); fetches and displays that month's events.</t>
  </si>
  <si>
    <t>Inspect event detail modal by clicking calendar cell</t>
  </si>
  <si>
    <t>Event Inspection</t>
  </si>
  <si>
    <t>Click on 'Community Outreach Day' event entry in the grid.</t>
  </si>
  <si>
    <t>Event detail modal opens showing date, time, location, host ministry, and full event description.</t>
  </si>
  <si>
    <t>Staff opens '+ Add event' modal and creates new event</t>
  </si>
  <si>
    <t>Event Creation</t>
  </si>
  <si>
    <t>Sign in as staff, click '+ Add event', fill in title 'Church Picnic', date, time, location, and click Save.</t>
  </si>
  <si>
    <t>Calls POST /events with event JSON; returns created event; reloads calendar with new item visible.</t>
  </si>
  <si>
    <t>Validate required fields in event creation form</t>
  </si>
  <si>
    <t>In '+ Add event' modal, leave title empty and click Save.</t>
  </si>
  <si>
    <t>Form validation halts submission; highlights empty title field with required error.</t>
  </si>
  <si>
    <t>Staff deletes or cancels scheduled event</t>
  </si>
  <si>
    <t>Event Deletion</t>
  </si>
  <si>
    <t>Open event detail modal as staff and click 'Delete event' button with confirmation.</t>
  </si>
  <si>
    <t>Calls DELETE /events/:id; event is removed from calendar display.</t>
  </si>
  <si>
    <t>Automatic AI bulletin summary generation on event creation</t>
  </si>
  <si>
    <t>AI Content Generation</t>
  </si>
  <si>
    <t>As staff, create a new calendar event and check for automated AI bulletin summary.</t>
  </si>
  <si>
    <t>AI endpoint generates welcoming 2-sentence bulletin summary.</t>
  </si>
  <si>
    <t>Export calendar gatherings to Apple iCal / .ics file</t>
  </si>
  <si>
    <t>Calendar Standards Export</t>
  </si>
  <si>
    <t>Click 'Add to calendar' / export button on an event detail view.</t>
  </si>
  <si>
    <t>Downloads standardized .ics file for importing into Apple Calendar or Outlook.</t>
  </si>
  <si>
    <t>Select preset donation amount button</t>
  </si>
  <si>
    <t>Donation Flow</t>
  </si>
  <si>
    <t>Click preset dollar amount button '$100'.</t>
  </si>
  <si>
    <t>Donation total updates to '$100.00' and highlights the $100 button.</t>
  </si>
  <si>
    <t>Enter custom donation dollar amount with validation</t>
  </si>
  <si>
    <t>Click 'Custom amount' input, type '150.00', and proceed.</t>
  </si>
  <si>
    <t>Custom amount input accepts numeric value and sets donation total to $150.00.</t>
  </si>
  <si>
    <t>Select designated fund from fund selector dropdown</t>
  </si>
  <si>
    <t>Fund Allocation</t>
  </si>
  <si>
    <t>Open fund selector dropdown and choose 'Missions Fund'.</t>
  </si>
  <si>
    <t>Donation allocation updates to 'Missions Fund'; fund ID included in checkout session request.</t>
  </si>
  <si>
    <t>Browse active mission trips on Mission Trips tab</t>
  </si>
  <si>
    <t>Mission Trips Discovery</t>
  </si>
  <si>
    <t>Click 'Mission trips' tab ('#/give/trips').</t>
  </si>
  <si>
    <t>Displays active mission trips with destination, trip dates, team size, and funding progress bar.</t>
  </si>
  <si>
    <t>Click 'Support this trip' to prefill donation fund</t>
  </si>
  <si>
    <t>Designated Trip Support</t>
  </si>
  <si>
    <t>Click 'Support this trip' button on Guatemala outreach card.</t>
  </si>
  <si>
    <t>Navigates to '#/give' with Guatemala mission fund pre-selected in fund dropdown.</t>
  </si>
  <si>
    <t>Submit volunteer application to join a mission trip</t>
  </si>
  <si>
    <t>Trip Volunteer Application</t>
  </si>
  <si>
    <t>Click 'Apply to go', fill in applicant name, email, skills, and submit application.</t>
  </si>
  <si>
    <t>Calls POST /trips/:id/apply; submits application for staff review; displays confirmation.</t>
  </si>
  <si>
    <t>Access monthly recurring gift management via secure token</t>
  </si>
  <si>
    <t>Subscription Self-Service</t>
  </si>
  <si>
    <t>Open manage gift link with valid token ('#/give/manage/:church.:token').</t>
  </si>
  <si>
    <t>Loads donor's monthly gift details: amount, designated fund, next billing date, and cancellation action.</t>
  </si>
  <si>
    <t>Cancel recurring monthly donation</t>
  </si>
  <si>
    <t>Subscription Management</t>
  </si>
  <si>
    <t>On the manage recurring gift screen, click 'Cancel monthly gift' and confirm in prompt.</t>
  </si>
  <si>
    <t>Calls DELETE /giving/recurring; cancels Stripe subscription; displays cancellation confirmation.</t>
  </si>
  <si>
    <t>Direct credit card donation processing in Demo Mode</t>
  </si>
  <si>
    <t>Payment Processing</t>
  </si>
  <si>
    <t>Enter donation amount and attempt live credit card payment on demo church ('slug: demo').</t>
  </si>
  <si>
    <t>Processes live donation via Stripe payment gateway.</t>
  </si>
  <si>
    <t>Monthly recurring donation setup without Stripe Connect</t>
  </si>
  <si>
    <t>Payment Configuration Prerequisite</t>
  </si>
  <si>
    <t>Attempt to set up monthly recurring donation on a church that has not connected Stripe.</t>
  </si>
  <si>
    <t>Monthly recurring option is disabled with clear prerequisite explanation.</t>
  </si>
  <si>
    <t>Render interactive Leaflet world map with partner borders</t>
  </si>
  <si>
    <t>Map Visualization</t>
  </si>
  <si>
    <t>Navigate to '#/prayer'.</t>
  </si>
  <si>
    <t>Leaflet map initializes centered on global partner regions with highlighted country border polygons.</t>
  </si>
  <si>
    <t>Click country prayer beacon to inspect prayer focus</t>
  </si>
  <si>
    <t>Prayer Focus Inspection</t>
  </si>
  <si>
    <t>Click pulsing prayer beacon pin located on country 'Nepal'.</t>
  </si>
  <si>
    <t>Map centers on Nepal; 'prayer-detail' card below map populates with Nepal prayer needs and cultural context.</t>
  </si>
  <si>
    <t>Click real news pin to inspect verified headline and date</t>
  </si>
  <si>
    <t>News Pin Popup</t>
  </si>
  <si>
    <t>Click on red news pin marker located in Kenya.</t>
  </si>
  <si>
    <t>Popup appears displaying verified news headline, publication date, and summary.</t>
  </si>
  <si>
    <t>Verify sensitive nation security safeguard hides team coordinates</t>
  </si>
  <si>
    <t>Security &amp; Anonymization</t>
  </si>
  <si>
    <t>Inspect prayer beacon for restricted/sensitive country.</t>
  </si>
  <si>
    <t>Pulsing beacon displays only country-level centroid; no local address, GPS coordinates, or missionary names are exposed.</t>
  </si>
  <si>
    <t>Verify compact labels toggle on dense zoom levels</t>
  </si>
  <si>
    <t>Label Collision Prevention</t>
  </si>
  <si>
    <t>Zoom out map to world overview level.</t>
  </si>
  <si>
    <t>LabelDensity hook detects potential label collisions and adds 'compact-labels' class to suppress overlapping text.</t>
  </si>
  <si>
    <t>Click 'Fit to borders' to re-center partner nations</t>
  </si>
  <si>
    <t>Map Bounds Ergonomics</t>
  </si>
  <si>
    <t>Pan map far off-center and refresh or trigger fit bounds.</t>
  </si>
  <si>
    <t>Map automatically calculates bounding box of all church mission regions and fits view with 40px padding.</t>
  </si>
  <si>
    <t>Filter prayer updates by selected country</t>
  </si>
  <si>
    <t>Geographic Filtering</t>
  </si>
  <si>
    <t>Select country 'Colombia' from partner nations list.</t>
  </si>
  <si>
    <t>News and prayer requests list below map filters exclusively to items matching Colombia country code.</t>
  </si>
  <si>
    <t>Smooth scroll to selected prayer detail card</t>
  </si>
  <si>
    <t>Interaction Ergonomics</t>
  </si>
  <si>
    <t>Click any country beacon on desktop viewport.</t>
  </si>
  <si>
    <t>Browser smoothly scrolls down to position 'prayer-detail' card into prominent view.</t>
  </si>
  <si>
    <t>Map rendering during backend API service outage</t>
  </si>
  <si>
    <t>Fault Resilience</t>
  </si>
  <si>
    <t>Disconnect backend API server and navigate to '#/prayer'.</t>
  </si>
  <si>
    <t>Map displays cached offline regions with retry option.</t>
  </si>
  <si>
    <t>Country beacon precision on small island nations</t>
  </si>
  <si>
    <t>Geographic Centroid Precision</t>
  </si>
  <si>
    <t>Inspect prayer beacon for small archipelagic partner nation (e.g. Fiji).</t>
  </si>
  <si>
    <t>Beacon pins directly to inhabited land territory.</t>
  </si>
  <si>
    <t>Display church mission statement banner</t>
  </si>
  <si>
    <t>Mission Display</t>
  </si>
  <si>
    <t>Navigate to '#/about'.</t>
  </si>
  <si>
    <t>Displays 'Our mission' card featuring the church's core mission statement in prominent typography.</t>
  </si>
  <si>
    <t>Render church narrative story and history paragraphs</t>
  </si>
  <si>
    <t>Storytelling Content</t>
  </si>
  <si>
    <t>Inspect 'Our story' section on About page.</t>
  </si>
  <si>
    <t>Renders formatted narrative paragraphs detailing church founding, vision, and community impact.</t>
  </si>
  <si>
    <t>Inspect core values cards with distinct icons</t>
  </si>
  <si>
    <t>Core Values</t>
  </si>
  <si>
    <t>Inspect 'What we value' grid on About page.</t>
  </si>
  <si>
    <t>Displays core value cards (e.g. Grace, Community, Service, Scripture) each with distinct icon and description.</t>
  </si>
  <si>
    <t>Verify office hours and physical location in visit block</t>
  </si>
  <si>
    <t>Facility Details</t>
  </si>
  <si>
    <t>Inspect 'Find us / Come visit' section on About page.</t>
  </si>
  <si>
    <t>Displays church street address, office hours, and weekly gathering times.</t>
  </si>
  <si>
    <t>Click 'Plan your visit' CTA button</t>
  </si>
  <si>
    <t>Internal Navigation</t>
  </si>
  <si>
    <t>Click 'Plan your visit' primary button at bottom of story page.</t>
  </si>
  <si>
    <t>Navigates directly to '#/guests/plan' guest visit registration page.</t>
  </si>
  <si>
    <t>Click 'What we believe' button to navigate to beliefs tab</t>
  </si>
  <si>
    <t>Sub-navigation</t>
  </si>
  <si>
    <t>Click 'What we believe' secondary button.</t>
  </si>
  <si>
    <t>Navigates to '#/about/beliefs' statement of faith tab.</t>
  </si>
  <si>
    <t>Click 'Connect with us' button to navigate to connect tab</t>
  </si>
  <si>
    <t>Click 'Connect with us' button.</t>
  </si>
  <si>
    <t>Navigates to '#/about/connect' next steps page.</t>
  </si>
  <si>
    <t>Hover sourced story text to verify import quote attribution</t>
  </si>
  <si>
    <t>Provenance Verification</t>
  </si>
  <si>
    <t>When previewing an imported church site, hover over imported About text.</t>
  </si>
  <si>
    <t>Sourced component tooltip appears displaying source URL and verbatim quote from imported website.</t>
  </si>
  <si>
    <t>Verify dynamic church name replacement across all story text</t>
  </si>
  <si>
    <t>Tenant Personalization</t>
  </si>
  <si>
    <t>View About page across two different tenant church configurations.</t>
  </si>
  <si>
    <t>Intro subtitle and story text dynamically replace placeholder with active church name.</t>
  </si>
  <si>
    <t>Provenance quote tooltip on mobile touchscreens</t>
  </si>
  <si>
    <t>Touchscreen Tooltip Ergonomics</t>
  </si>
  <si>
    <t>Tap sourced sentence on mobile phone to inspect provenance source and quote.</t>
  </si>
  <si>
    <t>Mobile modal or popover opens displaying quote attribution.</t>
  </si>
  <si>
    <t>Render statement of belief introductory preamble</t>
  </si>
  <si>
    <t>Doctrinal Overview</t>
  </si>
  <si>
    <t>Navigate to '#/about/beliefs'.</t>
  </si>
  <si>
    <t>Displays preamble card: 'What we hold to' explaining the convictions that shape teaching and life together.</t>
  </si>
  <si>
    <t>Verify sequential two-digit numbering on belief articles</t>
  </si>
  <si>
    <t>Article Enumeration</t>
  </si>
  <si>
    <t>Inspect numbered belief badges in the beliefs list.</t>
  </si>
  <si>
    <t>Belief items display clean two-digit index badges: '01', '02', '03' etc.</t>
  </si>
  <si>
    <t>Inspect Article 01 on Scripture and Inspiration</t>
  </si>
  <si>
    <t>Theological Content</t>
  </si>
  <si>
    <t>Inspect belief item 01 'The Bible'.</t>
  </si>
  <si>
    <t>Displays doctrine affirming the authority, inspiration, and trustworthiness of the Scriptures.</t>
  </si>
  <si>
    <t>Inspect Article 02 on God and the Trinity</t>
  </si>
  <si>
    <t>Inspect belief item 02 'God'.</t>
  </si>
  <si>
    <t>Displays doctrine on God as Creator and eternally existing in three persons: Father, Son, and Holy Spirit.</t>
  </si>
  <si>
    <t>Inspect Article on Salvation by Grace through Faith</t>
  </si>
  <si>
    <t>Inspect belief item on 'Salvation'.</t>
  </si>
  <si>
    <t>Displays doctrine explaining salvation as a free gift received through faith in Jesus Christ alone.</t>
  </si>
  <si>
    <t>Render custom imported beliefs statement for imported site</t>
  </si>
  <si>
    <t>Custom Tenant Content</t>
  </si>
  <si>
    <t>Open Beliefs page on church where Tekton imported custom doctrinal statement.</t>
  </si>
  <si>
    <t>ChurchBeliefs component renders the church's own imported doctrinal articles instead of sample data.</t>
  </si>
  <si>
    <t>Display demo church statement of faith fallback</t>
  </si>
  <si>
    <t>Demo Data Integrity</t>
  </si>
  <si>
    <t>Open Beliefs page while viewing demo church tenant.</t>
  </si>
  <si>
    <t>Renders verified default beliefs dataset from data/beliefs.json.</t>
  </si>
  <si>
    <t>Sub-navigation tab switching to Our Story and Directory</t>
  </si>
  <si>
    <t>Click 'Our story' tab in sub-navigation bar.</t>
  </si>
  <si>
    <t>Switches view seamlessly back to '#/about' with active tab state updating.</t>
  </si>
  <si>
    <t>Semantic ordered list accessibility check (&lt;ol&gt;, &lt;li&gt;)</t>
  </si>
  <si>
    <t>Accessibility Standards</t>
  </si>
  <si>
    <t>Inspect DOM structure of the beliefs listing.</t>
  </si>
  <si>
    <t>Belief items are structured inside semantic &lt;ol class='beliefs'&gt; and &lt;li class='card belief'&gt; elements for screen readers.</t>
  </si>
  <si>
    <t>Doctrinal beliefs display on imported site without statement of faith</t>
  </si>
  <si>
    <t>Conditional Routing</t>
  </si>
  <si>
    <t>Open '#/about/beliefs' on church imported from a website with no beliefs page.</t>
  </si>
  <si>
    <t>Displays friendly notice explaining church has not published doctrinal beliefs.</t>
  </si>
  <si>
    <t>Filter news feed by kind: Updates vs Articles</t>
  </si>
  <si>
    <t>Content Filtering</t>
  </si>
  <si>
    <t>Click 'Updates' filter toggle button.</t>
  </si>
  <si>
    <t>News feed filters to display only short announcement updates; longer articles are hidden.</t>
  </si>
  <si>
    <t>Filter news posts by category tag pill</t>
  </si>
  <si>
    <t>Taxonomy Filtering</t>
  </si>
  <si>
    <t>Click category pill 'Outreach' in tag suggestions bar.</t>
  </si>
  <si>
    <t>Displays only posts tagged with the 'Outreach' category.</t>
  </si>
  <si>
    <t>Expand long-form article to read full text</t>
  </si>
  <si>
    <t>Click 'Read the full article' button on an article exceeding 420 characters.</t>
  </si>
  <si>
    <t>Article expands smoothly revealing full body paragraphs and hides the expand button.</t>
  </si>
  <si>
    <t>Verify AI 3-bullet summary on featured articles</t>
  </si>
  <si>
    <t>AI Article Summarization</t>
  </si>
  <si>
    <t>Inspect header of a featured pastor article.</t>
  </si>
  <si>
    <t>Displays AI bullet summary section containing 3 concise takeaway bullet points.</t>
  </si>
  <si>
    <t>Click internal action link on quick update post</t>
  </si>
  <si>
    <t>Contextual Action Links</t>
  </si>
  <si>
    <t>Click 'Find a place to serve' button on volunteer announcement update.</t>
  </si>
  <si>
    <t>Executes in-app routing to '#/serve/find' without triggering full page reload.</t>
  </si>
  <si>
    <t>Open external reference link in new browser tab</t>
  </si>
  <si>
    <t>External Link Handling</t>
  </si>
  <si>
    <t>Click 'Learn more' external web link on community partner update.</t>
  </si>
  <si>
    <t>Opens external URL in a new browser tab with rel='noopener noreferrer'.</t>
  </si>
  <si>
    <t>Staff opens 'Write a post' modal and creates new article</t>
  </si>
  <si>
    <t>Post Creation</t>
  </si>
  <si>
    <t>Sign in as staff, click '+ Write a post', enter title 'Fall Outreach Kickoff', select kind 'article', write body, and click Publish.</t>
  </si>
  <si>
    <t>Calls POST /blog; article is saved and immediately appears at the top of the news feed.</t>
  </si>
  <si>
    <t>Staff deletes outdated announcement post</t>
  </si>
  <si>
    <t>Content Moderation</t>
  </si>
  <si>
    <t>Click 'Delete post' trash button on an expired announcement as staff.</t>
  </si>
  <si>
    <t>Calls DELETE /blog/:id; post is removed from news listing.</t>
  </si>
  <si>
    <t>Article AI summary generation on non-standard formatting</t>
  </si>
  <si>
    <t>AI Summary Robustness</t>
  </si>
  <si>
    <t>Staff publishes an article containing unusual ASCII formatting or markdown bullet lists.</t>
  </si>
  <si>
    <t>AI summarizes article into 3 clean bullet points.</t>
  </si>
  <si>
    <t>Pagination / infinite scroll on large archive of news posts</t>
  </si>
  <si>
    <t>Performance &amp; Data Scalability</t>
  </si>
  <si>
    <t>Scroll to bottom of news feed containing 50+ published posts.</t>
  </si>
  <si>
    <t>Pagination or infinite scroll loads older posts in manageable batches.</t>
  </si>
  <si>
    <t>Search directory by pastor or leader name</t>
  </si>
  <si>
    <t>Directory Search</t>
  </si>
  <si>
    <t>Type 'Marcus' into directory search input.</t>
  </si>
  <si>
    <t>Staff list filters immediately to staff cards matching 'Marcus'.</t>
  </si>
  <si>
    <t>Search directory by ministry or department role</t>
  </si>
  <si>
    <t>Role Filtering</t>
  </si>
  <si>
    <t>Type 'worship' into directory search input.</t>
  </si>
  <si>
    <t>Filters directory to staff members and ministry leaders whose role or bio contains 'worship'.</t>
  </si>
  <si>
    <t>Click staff email address to open email client</t>
  </si>
  <si>
    <t>Click-to-Email</t>
  </si>
  <si>
    <t>Click on pastor email link 'pastor@example.org'.</t>
  </si>
  <si>
    <t>Link triggers mailto:pastor@example.org opening default email client.</t>
  </si>
  <si>
    <t>Verify Church Office card address and office hours</t>
  </si>
  <si>
    <t>Inspect top 'Church office' block on Directory page.</t>
  </si>
  <si>
    <t>Displays church physical street address, phone, email, and weekly office hours.</t>
  </si>
  <si>
    <t>Inspect pastor biography and role card</t>
  </si>
  <si>
    <t>Personnel Profile</t>
  </si>
  <si>
    <t>Inspect card for Senior Pastor.</t>
  </si>
  <si>
    <t>Card displays pastor name, official role title, bio summary, and direct email link.</t>
  </si>
  <si>
    <t>Verify imported staff provenance source attribution tooltip</t>
  </si>
  <si>
    <t>Hover over pastor name on an imported church preview site.</t>
  </si>
  <si>
    <t>Sourced tooltip appears citing source page (e.g. '/our-team.html') and exact quote from original site.</t>
  </si>
  <si>
    <t>Display ministry leaders associated with respective teams</t>
  </si>
  <si>
    <t>Ministry Leadership</t>
  </si>
  <si>
    <t>Scroll to 'Ministry leaders' section in directory.</t>
  </si>
  <si>
    <t>Displays cards for leaders heading specific ministries (e.g. 'Leads Kids Ministry').</t>
  </si>
  <si>
    <t>Clear search input to restore full staff directory listing</t>
  </si>
  <si>
    <t>Filter Reset</t>
  </si>
  <si>
    <t>Clear text from search input box.</t>
  </si>
  <si>
    <t>Directory instantly restores full listing of all pastors, staff, and ministry leads.</t>
  </si>
  <si>
    <t>Verify empty state message on unmatched search query</t>
  </si>
  <si>
    <t>Empty State Handling</t>
  </si>
  <si>
    <t>Type non-existent name 'Zyxwvut' into directory search box.</t>
  </si>
  <si>
    <t>Directory sections hide and show zero-match empty state without crashing.</t>
  </si>
  <si>
    <t>Phone number click-to-call on desktop browser without telephony app</t>
  </si>
  <si>
    <t>Desktop Protocol Handling</t>
  </si>
  <si>
    <t>Click church phone link on desktop browser with no VoIP/telephone app configured.</t>
  </si>
  <si>
    <t>Displays prompt to copy phone number to clipboard.</t>
  </si>
  <si>
    <t>Click 'Visiting for the first time' pathway card</t>
  </si>
  <si>
    <t>Pathway Navigation</t>
  </si>
  <si>
    <t>Click 'Visiting for the first time' feature card.</t>
  </si>
  <si>
    <t>Navigates directly to '#/guests/plan' first-time visitor page.</t>
  </si>
  <si>
    <t>Click 'Find a place to serve' pathway card</t>
  </si>
  <si>
    <t>Click 'Find a place to serve' feature card.</t>
  </si>
  <si>
    <t>Navigates directly to '#/serve/find' volunteer matching page.</t>
  </si>
  <si>
    <t>Click 'Come to an event' pathway card</t>
  </si>
  <si>
    <t>Click 'Come to an event' feature card.</t>
  </si>
  <si>
    <t>Navigates directly to '#/calendar' calendar gatherings page.</t>
  </si>
  <si>
    <t>Browse community small groups listing</t>
  </si>
  <si>
    <t>Community Groups</t>
  </si>
  <si>
    <t>Inspect 'Groups / Find your people' section on Connect page.</t>
  </si>
  <si>
    <t>Displays active small groups with group name, meeting schedule ('Tuesdays 7pm'), location, and target audience.</t>
  </si>
  <si>
    <t>Click external registration link for imported form</t>
  </si>
  <si>
    <t>External Form Integration</t>
  </si>
  <si>
    <t>Click on imported sign-up form link (e.g. Church Center / Google Forms).</t>
  </si>
  <si>
    <t>Opens external registration form in a new browser tab with rel='noopener noreferrer'.</t>
  </si>
  <si>
    <t>Fill connect inquiry form and select interest topic</t>
  </si>
  <si>
    <t>Lead Capture</t>
  </si>
  <si>
    <t>Fill in name 'James Carter', contact 'james@example.org', select interest 'Small groups', type note, and inspect mailto button.</t>
  </si>
  <si>
    <t>Form updates mailto link with encoded subject 'Connecting with Grace Church: Small groups' and body text.</t>
  </si>
  <si>
    <t>Validate connect form requires name and church contact email</t>
  </si>
  <si>
    <t>Leave name input blank and inspect 'Send message' button state.</t>
  </si>
  <si>
    <t>'Send message' button is disabled until a name is entered and church email exists.</t>
  </si>
  <si>
    <t>Click 'Ask Tekton' quick link to open sitewide chat modal</t>
  </si>
  <si>
    <t>Assistant Hand-off</t>
  </si>
  <si>
    <t>Click 'Ask Tekton' secondary button inside connect block.</t>
  </si>
  <si>
    <t>Opens sitewide chat assistant drawer for immediate interactive conversation.</t>
  </si>
  <si>
    <t>Submit connect inquiry expecting server inbox storage</t>
  </si>
  <si>
    <t>Lead Capture Storage</t>
  </si>
  <si>
    <t>Fill out connect form and click 'Send message' expecting submission to church database.</t>
  </si>
  <si>
    <t>Submits lead to backend CRM/inbox database.</t>
  </si>
  <si>
    <t>Inquiry submission when church contact email is unconfigured</t>
  </si>
  <si>
    <t>Form Validation &amp; Fallback</t>
  </si>
  <si>
    <t>Attempt to submit connect form on church where email is unlisted.</t>
  </si>
  <si>
    <t>Form provides alternative contact method or stores lead in database.</t>
  </si>
  <si>
    <t>Staff authentication with valid email and password</t>
  </si>
  <si>
    <t>Staff Authentication</t>
  </si>
  <si>
    <t>Admin - Church Staff</t>
  </si>
  <si>
    <t>Navigate to '#/staff', enter staff email 'admin@example.org', staff password, and click 'Sign in'.</t>
  </si>
  <si>
    <t>Calls /admin/login endpoint, receives verified session token, stores token, and renders Staff Dashboard.</t>
  </si>
  <si>
    <t>Display error banner on invalid login credentials</t>
  </si>
  <si>
    <t>Authentication Error Handling</t>
  </si>
  <si>
    <t>Enter wrong password and click 'Sign in'.</t>
  </si>
  <si>
    <t>Form remains on screen; displays error banner 'Invalid password. Please check and try again.'</t>
  </si>
  <si>
    <t>Connect Stripe account button redirection</t>
  </si>
  <si>
    <t>Stripe Onboarding</t>
  </si>
  <si>
    <t>On Overview tab, click 'Connect Stripe' onboarding button.</t>
  </si>
  <si>
    <t>Calls /admin/stripe/connect endpoint and redirects to Stripe Connect OAuth flow.</t>
  </si>
  <si>
    <t>Create a new church fund with fundraising dollar goal</t>
  </si>
  <si>
    <t>Fund Management</t>
  </si>
  <si>
    <t>On 'Funds &amp; trips' tab, click '+ Add fund', enter name 'Roof Repair', goal '15000', and click Save.</t>
  </si>
  <si>
    <t>Calls POST /admin/funds; adds new fund to active funds list and makes available on Give page.</t>
  </si>
  <si>
    <t>Create a new mission trip with dates and target budget</t>
  </si>
  <si>
    <t>Mission Trip Creation</t>
  </si>
  <si>
    <t>Click '+ Add trip', enter destination 'Honduras', departure date, return date, cost '$1,800', and submit.</t>
  </si>
  <si>
    <t>Calls POST /admin/trips; creates mission trip entity; publishes card on '#/give/trips'.</t>
  </si>
  <si>
    <t>Review and approve volunteer mission trip application</t>
  </si>
  <si>
    <t>Application Review</t>
  </si>
  <si>
    <t>On 'Applications' tab, click 'Approve' on applicant 'David Lee' for Honduras trip.</t>
  </si>
  <si>
    <t>Calls PATCH /admin/applications/:id with status 'approved'; updates applicant badge to Approved.</t>
  </si>
  <si>
    <t>View confidential donor gifts ledger table</t>
  </si>
  <si>
    <t>Gifts Ledger</t>
  </si>
  <si>
    <t>Click 'Gifts' tab in staff dashboard navigation.</t>
  </si>
  <si>
    <t>Renders secure gifts table showing donor names, emails, funds, amounts, timestamps, and Stripe charge IDs.</t>
  </si>
  <si>
    <t>Sign out of staff session and return to visitor view</t>
  </si>
  <si>
    <t>Session Termination</t>
  </si>
  <si>
    <t>Click 'Sign out' button in staff dashboard header.</t>
  </si>
  <si>
    <t>Calls /admin/logout, purges staff session token from storage, and returns UI to visitor browsing mode.</t>
  </si>
  <si>
    <t>Staff session verification during giving microservice outage</t>
  </si>
  <si>
    <t>Microservice Dependency</t>
  </si>
  <si>
    <t>Sign in as staff when giving service is temporarily unreachable.</t>
  </si>
  <si>
    <t>Displays cached offline staff view or retry countdown.</t>
  </si>
  <si>
    <t>Invite staff member with duplicate email address</t>
  </si>
  <si>
    <t>Error Handling</t>
  </si>
  <si>
    <t>Invite an email that is already registered as a staff member.</t>
  </si>
  <si>
    <t>Displays inline error stating user already exists in team.</t>
  </si>
  <si>
    <t>Update church display name and city in Church Setup</t>
  </si>
  <si>
    <t>Branding Settings</t>
  </si>
  <si>
    <t>Admin - Church Setup</t>
  </si>
  <si>
    <t>Sign in to '#/setup', change church name to 'Grace Fellowship Church', city to 'Denver, CO', and click 'Save changes'.</t>
  </si>
  <si>
    <t>Calls PUT /api/church/content with updated details; updates document title and header church name.</t>
  </si>
  <si>
    <t>Update church phone number and primary office email</t>
  </si>
  <si>
    <t>Contact Info Management</t>
  </si>
  <si>
    <t>Change church phone to '(555) 019-3322' and email to 'hello@gracechurch.org', and save.</t>
  </si>
  <si>
    <t>Updates stored church contact facts; reflected across footer, directory, and contact blocks.</t>
  </si>
  <si>
    <t>Set physical street address and weekly office hours</t>
  </si>
  <si>
    <t>Update street address to '500 Mountain View Rd' and office hours to 'Tue-Fri 9am-3pm', and save.</t>
  </si>
  <si>
    <t>Updates facility details; updates Google Maps directions links sitewide.</t>
  </si>
  <si>
    <t>Add new weekly worship service time slot</t>
  </si>
  <si>
    <t>Service Times Configuration</t>
  </si>
  <si>
    <t>Click '+ Add service time', select day 'Sunday', time '5:00 PM', description 'Evening Worship', and click Save.</t>
  </si>
  <si>
    <t>Adds service slot to church info services array; visible on Home and Plan Your Visit service dropdowns.</t>
  </si>
  <si>
    <t>Remove outdated worship service time slot</t>
  </si>
  <si>
    <t>Click 'Remove' trash button on Wednesday 6:30 PM service slot and save.</t>
  </si>
  <si>
    <t>Deletes service item from services list; removed from public site schedule.</t>
  </si>
  <si>
    <t>Add new frequently asked question (FAQ) and response</t>
  </si>
  <si>
    <t>FAQ Management</t>
  </si>
  <si>
    <t>Click '+ Add FAQ', enter question 'Is there childcare available?', enter answer 'Yes, for ages 0-5', and save.</t>
  </si>
  <si>
    <t>Appends FAQ item to church faqs array; renders in accordion on Plan Your Visit page.</t>
  </si>
  <si>
    <t>Create a new serving ministry team with team lead</t>
  </si>
  <si>
    <t>Ministry Provisioning</t>
  </si>
  <si>
    <t>Click '+ Add ministry', enter name 'Hospitality Greeters', lead 'Laura Bailey', category 'Hospitality', and save.</t>
  </si>
  <si>
    <t>Calls PUT /api/church/content with new ministry item; ministry appears on Serve page.</t>
  </si>
  <si>
    <t>Select partner mission countries for Prayer Map display</t>
  </si>
  <si>
    <t>Prayer Map Configuration</t>
  </si>
  <si>
    <t>Check partner countries 'Brazil', 'Japan', and 'Uganda' in the mission regions multi-select list and save.</t>
  </si>
  <si>
    <t>Updates supported country codes; Prayer Map highlights selected countries with border overlays.</t>
  </si>
  <si>
    <t>Enforce sign-in prompt when unauthenticated user accesses setup</t>
  </si>
  <si>
    <t>Access Protection</t>
  </si>
  <si>
    <t>Navigate to '#/setup' while signed out.</t>
  </si>
  <si>
    <t>Setup forms are hidden; displays StaffSignIn form with email and password inputs.</t>
  </si>
  <si>
    <t>Concurrent setup updates overwritten without conflict resolution</t>
  </si>
  <si>
    <t>Two staff administrators edit church service times simultaneously from separate laptops.</t>
  </si>
  <si>
    <t>System detects concurrent modification and flags conflict.</t>
  </si>
  <si>
    <t>Open chat widget by clicking floating action button</t>
  </si>
  <si>
    <t>Chat Activation</t>
  </si>
  <si>
    <t>Sitewide Chat (Ask Tekton)</t>
  </si>
  <si>
    <t>Click floating 'Ask Tekton' sparkle button in bottom-right corner.</t>
  </si>
  <si>
    <t>Chat panel slides open smoothly; displays greeting message and quick starter prompts.</t>
  </si>
  <si>
    <t>Click starter prompt 'When are services?'</t>
  </si>
  <si>
    <t>Quick Starter Prompts</t>
  </si>
  <si>
    <t>Click prompt pill 'When are services?' above chat input.</t>
  </si>
  <si>
    <t>Submits query to /chat; assistant replies with accurate Sunday and midweek gathering times.</t>
  </si>
  <si>
    <t>Inquire about upcoming gatherings and events</t>
  </si>
  <si>
    <t>Gathering Inquiries</t>
  </si>
  <si>
    <t>Type 'What events are happening this week?' and hit Enter.</t>
  </si>
  <si>
    <t>Assistant queries calendar data and returns scheduled gatherings with dates and times.</t>
  </si>
  <si>
    <t>Ask volunteer question 'How can I get involved?'</t>
  </si>
  <si>
    <t>Volunteer Guidance</t>
  </si>
  <si>
    <t>Type 'How can I get involved in serving?' and send.</t>
  </si>
  <si>
    <t>Assistant explains serving opportunities and provides interactive suggestion link to Serve page.</t>
  </si>
  <si>
    <t>Click inline chat navigation link to jump to Plan Your Visit</t>
  </si>
  <si>
    <t>In-Chat Deep Linking</t>
  </si>
  <si>
    <t>Click assistant's suggested action button 'Plan your visit'.</t>
  </si>
  <si>
    <t>Chat closes and app navigates directly to '#/guests/plan' with focus on visit form.</t>
  </si>
  <si>
    <t>Submit pastoral prayer request with contact details</t>
  </si>
  <si>
    <t>Prayer Request Filing</t>
  </si>
  <si>
    <t>Type 'Please pray for my mother recovering from surgery. My email is mary@example.org' and send.</t>
  </si>
  <si>
    <t>Assistant detects care request, files connection request via action 'hand_off_to_staff', and confirms request saved.</t>
  </si>
  <si>
    <t>Instant staff queue notification for filed prayer request</t>
  </si>
  <si>
    <t>Staff Notification Handoff</t>
  </si>
  <si>
    <t>Observe staff navigation badge immediately after filing prayer request.</t>
  </si>
  <si>
    <t>onRequestFiled callback fires; staff navigation badge count increments by 1 instantly.</t>
  </si>
  <si>
    <t>Multi-turn conversation context retention</t>
  </si>
  <si>
    <t>Session Context Retention</t>
  </si>
  <si>
    <t>Ask 'Where is the church located?' followed by 'Is there parking there?'.</t>
  </si>
  <si>
    <t>Assistant recalls previous reference to church address and answers parking question in context.</t>
  </si>
  <si>
    <t>Complex theological inquiry when AI service is in demo mode</t>
  </si>
  <si>
    <t>AI Demo Fallback</t>
  </si>
  <si>
    <t>Ask chat assistant 'What is the church's view on eschatology and the millennium?' when LLM is unconfigured.</t>
  </si>
  <si>
    <t>Provides helpful theological overview based on church doctrine.</t>
  </si>
  <si>
    <t>Prayer request filing without valid contact info provided</t>
  </si>
  <si>
    <t>Input Validation</t>
  </si>
  <si>
    <t>In chat, say 'Please pray for me' and close chat before providing name or contact.</t>
  </si>
  <si>
    <t>Assistant prompts user for name/contact before filing request.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</si>
</sst>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0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E0EFE5"/>
      <name val="Calibri"/>
    </font>
    <font>
      <b/>
      <sz val="9.0"/>
      <color rgb="FF556B5D"/>
      <name val="Calibri"/>
    </font>
    <font>
      <b/>
      <sz val="18.0"/>
      <color rgb="FF1A3B2B"/>
      <name val="Calibri"/>
    </font>
    <font>
      <b/>
      <sz val="18.0"/>
      <color rgb="FF137333"/>
      <name val="Calibri"/>
    </font>
    <font>
      <b/>
      <sz val="18.0"/>
      <color rgb="FFC5221F"/>
      <name val="Calibri"/>
    </font>
    <font>
      <b/>
      <sz val="18.0"/>
      <color rgb="FF5F6368"/>
      <name val="Calibri"/>
    </font>
    <font>
      <b/>
      <sz val="13.0"/>
      <color rgb="FF1A3B2B"/>
      <name val="Calibri"/>
    </font>
    <font>
      <b/>
      <sz val="11.0"/>
      <color rgb="FFFFFFFF"/>
      <name val="Calibri"/>
    </font>
    <font>
      <b/>
      <sz val="10.0"/>
      <color rgb="FF1F2937"/>
      <name val="Calibri"/>
    </font>
    <font>
      <sz val="10.0"/>
      <color rgb="FF1F2937"/>
      <name val="Calibri"/>
    </font>
    <font>
      <b/>
      <sz val="10.0"/>
      <color rgb="FF137333"/>
      <name val="Calibri"/>
    </font>
    <font>
      <b/>
      <sz val="10.0"/>
      <color rgb="FFC5221F"/>
      <name val="Calibri"/>
    </font>
    <font>
      <b/>
      <sz val="10.0"/>
      <color rgb="FF5F6368"/>
      <name val="Calibri"/>
    </font>
    <font>
      <b/>
      <sz val="11.0"/>
      <color rgb="FF1A3B2B"/>
      <name val="Calibri"/>
    </font>
    <font>
      <b/>
      <sz val="11.0"/>
      <color rgb="FF137333"/>
      <name val="Calibri"/>
    </font>
    <font>
      <b/>
      <sz val="11.0"/>
      <color rgb="FFC5221F"/>
      <name val="Calibri"/>
    </font>
    <font>
      <b/>
      <sz val="11.0"/>
      <color rgb="FF5F6368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234E38"/>
        <bgColor rgb="FF234E38"/>
      </patternFill>
    </fill>
    <fill>
      <patternFill patternType="solid">
        <fgColor rgb="FFEAF2EC"/>
        <bgColor rgb="FFEAF2EC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1F3F4"/>
        <bgColor rgb="FFF1F3F4"/>
      </patternFill>
    </fill>
    <fill>
      <patternFill patternType="solid">
        <fgColor rgb="FFF4F8F5"/>
        <bgColor rgb="FFF4F8F5"/>
      </patternFill>
    </fill>
    <fill>
      <patternFill patternType="solid">
        <fgColor rgb="FFE5EFE8"/>
        <bgColor rgb="FFE5EFE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1A3B2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3" fontId="4" numFmtId="0" xfId="0" applyAlignment="1" applyBorder="1" applyFill="1" applyFont="1">
      <alignment horizontal="center" vertical="center"/>
    </xf>
    <xf borderId="4" fillId="3" fontId="5" numFmtId="1" xfId="0" applyAlignment="1" applyBorder="1" applyFill="1" applyFont="1" applyNumberFormat="1">
      <alignment horizontal="center" vertical="center"/>
    </xf>
    <xf borderId="6" fillId="3" fontId="6" numFmtId="1" xfId="0" applyAlignment="1" applyBorder="1" applyFill="1" applyFont="1" applyNumberFormat="1">
      <alignment horizontal="center" vertical="center"/>
    </xf>
    <xf borderId="6" fillId="3" fontId="7" numFmtId="1" xfId="0" applyAlignment="1" applyBorder="1" applyFill="1" applyFont="1" applyNumberFormat="1">
      <alignment horizontal="center" vertical="center"/>
    </xf>
    <xf borderId="4" fillId="3" fontId="8" numFmtId="1" xfId="0" applyAlignment="1" applyBorder="1" applyFill="1" applyFont="1" applyNumberFormat="1">
      <alignment horizontal="center" vertical="center"/>
    </xf>
    <xf borderId="4" fillId="3" fontId="6" numFmtId="164" xfId="0" applyAlignment="1" applyBorder="1" applyFill="1" applyFont="1" applyNumberFormat="1">
      <alignment horizontal="center" vertical="center"/>
    </xf>
    <xf borderId="0" fillId="0" fontId="9" numFmtId="0" xfId="0" applyFont="1"/>
    <xf borderId="7" fillId="2" fontId="10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ill="1" applyFont="1">
      <alignment horizontal="left" shrinkToFit="0" vertical="center" wrapText="1"/>
    </xf>
    <xf borderId="7" fillId="4" fontId="12" numFmtId="0" xfId="0" applyAlignment="1" applyBorder="1" applyFill="1" applyFont="1">
      <alignment horizontal="center" vertical="center"/>
    </xf>
    <xf borderId="7" fillId="5" fontId="13" numFmtId="0" xfId="0" applyAlignment="1" applyBorder="1" applyFill="1" applyFont="1">
      <alignment horizontal="center" vertical="center"/>
    </xf>
    <xf borderId="7" fillId="6" fontId="14" numFmtId="0" xfId="0" applyAlignment="1" applyBorder="1" applyFill="1" applyFont="1">
      <alignment horizontal="center" vertical="center"/>
    </xf>
    <xf borderId="7" fillId="7" fontId="15" numFmtId="0" xfId="0" applyAlignment="1" applyBorder="1" applyFill="1" applyFont="1">
      <alignment horizontal="center" vertical="center"/>
    </xf>
    <xf borderId="7" fillId="4" fontId="11" numFmtId="164" xfId="0" applyAlignment="1" applyBorder="1" applyFill="1" applyFont="1" applyNumberFormat="1">
      <alignment horizontal="center" vertical="center"/>
    </xf>
    <xf borderId="7" fillId="4" fontId="12" numFmtId="0" xfId="0" applyAlignment="1" applyBorder="1" applyFill="1" applyFont="1">
      <alignment horizontal="left" shrinkToFit="0" vertical="center" wrapText="1"/>
    </xf>
    <xf borderId="7" fillId="8" fontId="11" numFmtId="0" xfId="0" applyAlignment="1" applyBorder="1" applyFill="1" applyFont="1">
      <alignment horizontal="left" shrinkToFit="0" vertical="center" wrapText="1"/>
    </xf>
    <xf borderId="7" fillId="8" fontId="12" numFmtId="0" xfId="0" applyAlignment="1" applyBorder="1" applyFill="1" applyFont="1">
      <alignment horizontal="center" vertical="center"/>
    </xf>
    <xf borderId="7" fillId="8" fontId="11" numFmtId="164" xfId="0" applyAlignment="1" applyBorder="1" applyFill="1" applyFont="1" applyNumberFormat="1">
      <alignment horizontal="center" vertical="center"/>
    </xf>
    <xf borderId="7" fillId="8" fontId="12" numFmtId="0" xfId="0" applyAlignment="1" applyBorder="1" applyFill="1" applyFont="1">
      <alignment horizontal="left" shrinkToFit="0" vertical="center" wrapText="1"/>
    </xf>
    <xf borderId="8" fillId="9" fontId="16" numFmtId="0" xfId="0" applyAlignment="1" applyBorder="1" applyFill="1" applyFont="1">
      <alignment horizontal="left" shrinkToFit="0" vertical="center" wrapText="1"/>
    </xf>
    <xf borderId="8" fillId="9" fontId="11" numFmtId="0" xfId="0" applyAlignment="1" applyBorder="1" applyFill="1" applyFont="1">
      <alignment horizontal="center" vertical="center"/>
    </xf>
    <xf borderId="8" fillId="9" fontId="17" numFmtId="0" xfId="0" applyAlignment="1" applyBorder="1" applyFill="1" applyFont="1">
      <alignment horizontal="center" vertical="center"/>
    </xf>
    <xf borderId="8" fillId="9" fontId="18" numFmtId="0" xfId="0" applyAlignment="1" applyBorder="1" applyFill="1" applyFont="1">
      <alignment horizontal="center" vertical="center"/>
    </xf>
    <xf borderId="8" fillId="9" fontId="19" numFmtId="0" xfId="0" applyAlignment="1" applyBorder="1" applyFill="1" applyFont="1">
      <alignment horizontal="center" vertical="center"/>
    </xf>
    <xf borderId="8" fillId="9" fontId="16" numFmtId="164" xfId="0" applyAlignment="1" applyBorder="1" applyFill="1" applyFont="1" applyNumberFormat="1">
      <alignment horizontal="center" vertical="center"/>
    </xf>
    <xf borderId="8" fillId="9" fontId="11" numFmtId="0" xfId="0" applyAlignment="1" applyBorder="1" applyFill="1" applyFont="1">
      <alignment horizontal="left" shrinkToFit="0" vertical="center" wrapText="1"/>
    </xf>
    <xf borderId="7" fillId="7" fontId="1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3">
    <dxf>
      <font>
        <b/>
        <sz val="10.0"/>
        <color rgb="FF137333"/>
        <name val="Calibri"/>
      </font>
      <fill>
        <patternFill patternType="solid">
          <fgColor rgb="FFE6F4EA"/>
          <bgColor rgb="FFE6F4EA"/>
        </patternFill>
      </fill>
      <border/>
    </dxf>
    <dxf>
      <font>
        <b/>
        <sz val="10.0"/>
        <color rgb="FFC5221F"/>
        <name val="Calibri"/>
      </font>
      <fill>
        <patternFill patternType="solid">
          <fgColor rgb="FFFCE8E6"/>
          <bgColor rgb="FFFCE8E6"/>
        </patternFill>
      </fill>
      <border/>
    </dxf>
    <dxf>
      <font>
        <b/>
        <sz val="10.0"/>
        <color rgb="FF5F6368"/>
        <name val="Calibri"/>
      </font>
      <fill>
        <patternFill patternType="solid">
          <fgColor rgb="FFF1F3F4"/>
          <bgColor rgb="FFF1F3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16.0"/>
    <col customWidth="1" min="4" max="5" width="12.0"/>
    <col customWidth="1" min="6" max="6" width="20.0"/>
    <col customWidth="1" min="7" max="7" width="22.0"/>
    <col customWidth="1" min="8" max="8" width="72.0"/>
    <col customWidth="1" min="9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3"/>
    </row>
    <row r="4" ht="18.0" customHeight="1">
      <c r="A4" s="5" t="s">
        <v>2</v>
      </c>
      <c r="B4" s="6"/>
      <c r="C4" s="7" t="s">
        <v>3</v>
      </c>
      <c r="D4" s="7" t="s">
        <v>4</v>
      </c>
      <c r="E4" s="5" t="s">
        <v>5</v>
      </c>
      <c r="F4" s="6"/>
      <c r="G4" s="5" t="s">
        <v>6</v>
      </c>
      <c r="H4" s="6"/>
    </row>
    <row r="5" ht="27.75" customHeight="1">
      <c r="A5" s="8">
        <f>C26</f>
        <v>180</v>
      </c>
      <c r="B5" s="6"/>
      <c r="C5" s="9">
        <f t="shared" ref="C5:E5" si="1">D26</f>
        <v>0</v>
      </c>
      <c r="D5" s="10">
        <f t="shared" si="1"/>
        <v>0</v>
      </c>
      <c r="E5" s="11">
        <f t="shared" si="1"/>
        <v>180</v>
      </c>
      <c r="F5" s="6"/>
      <c r="G5" s="12">
        <f>IF((D26+E26)&gt;0, D26/(D26+E26), 0)</f>
        <v>0</v>
      </c>
      <c r="H5" s="6"/>
    </row>
    <row r="7" ht="24.0" customHeight="1">
      <c r="A7" s="13" t="s">
        <v>7</v>
      </c>
    </row>
    <row r="8" ht="27.75" customHeight="1">
      <c r="A8" s="14" t="s">
        <v>8</v>
      </c>
      <c r="B8" s="14" t="s">
        <v>9</v>
      </c>
      <c r="C8" s="14" t="s">
        <v>10</v>
      </c>
      <c r="D8" s="14" t="s">
        <v>11</v>
      </c>
      <c r="E8" s="14" t="s">
        <v>12</v>
      </c>
      <c r="F8" s="14" t="s">
        <v>13</v>
      </c>
      <c r="G8" s="14" t="s">
        <v>14</v>
      </c>
      <c r="H8" s="14" t="s">
        <v>15</v>
      </c>
    </row>
    <row r="9" ht="24.0" customHeight="1">
      <c r="A9" s="15" t="s">
        <v>16</v>
      </c>
      <c r="B9" s="16" t="s">
        <v>17</v>
      </c>
      <c r="C9" s="16">
        <f>COUNTIF('Agentic Builder'!G2:G21, "&lt;&gt;")</f>
        <v>20</v>
      </c>
      <c r="D9" s="17">
        <f>COUNTIF('Agentic Builder'!G2:G21, "Pass")</f>
        <v>0</v>
      </c>
      <c r="E9" s="18">
        <f>COUNTIF('Agentic Builder'!G2:G21, "Fail")</f>
        <v>0</v>
      </c>
      <c r="F9" s="19">
        <f>COUNTIF('Agentic Builder'!G2:G21, "Unknown")</f>
        <v>20</v>
      </c>
      <c r="G9" s="20">
        <f t="shared" ref="G9:G26" si="2">IF((D9+E9)&gt;0, D9/(D9+E9), 0)</f>
        <v>0</v>
      </c>
      <c r="H9" s="21" t="s">
        <v>18</v>
      </c>
    </row>
    <row r="10" ht="24.0" customHeight="1">
      <c r="A10" s="22" t="s">
        <v>19</v>
      </c>
      <c r="B10" s="23" t="s">
        <v>20</v>
      </c>
      <c r="C10" s="23">
        <f>COUNTIF(Home!G2:G11, "&lt;&gt;")</f>
        <v>10</v>
      </c>
      <c r="D10" s="17">
        <f>COUNTIF(Home!G2:G11, "Pass")</f>
        <v>0</v>
      </c>
      <c r="E10" s="18">
        <f>COUNTIF(Home!G2:G11, "Fail")</f>
        <v>0</v>
      </c>
      <c r="F10" s="19">
        <f>COUNTIF(Home!G2:G11, "Unknown")</f>
        <v>10</v>
      </c>
      <c r="G10" s="24">
        <f t="shared" si="2"/>
        <v>0</v>
      </c>
      <c r="H10" s="25" t="s">
        <v>21</v>
      </c>
    </row>
    <row r="11" ht="24.0" customHeight="1">
      <c r="A11" s="15" t="s">
        <v>22</v>
      </c>
      <c r="B11" s="16" t="s">
        <v>23</v>
      </c>
      <c r="C11" s="16">
        <f>COUNTIF('Plan Your Visit'!G2:G11, "&lt;&gt;")</f>
        <v>10</v>
      </c>
      <c r="D11" s="17">
        <f>COUNTIF('Plan Your Visit'!G2:G11, "Pass")</f>
        <v>0</v>
      </c>
      <c r="E11" s="18">
        <f>COUNTIF('Plan Your Visit'!G2:G11, "Fail")</f>
        <v>0</v>
      </c>
      <c r="F11" s="19">
        <f>COUNTIF('Plan Your Visit'!G2:G11, "Unknown")</f>
        <v>10</v>
      </c>
      <c r="G11" s="20">
        <f t="shared" si="2"/>
        <v>0</v>
      </c>
      <c r="H11" s="21" t="s">
        <v>24</v>
      </c>
    </row>
    <row r="12" ht="24.0" customHeight="1">
      <c r="A12" s="22" t="s">
        <v>25</v>
      </c>
      <c r="B12" s="23" t="s">
        <v>26</v>
      </c>
      <c r="C12" s="23">
        <f>COUNTIF('Welcome Team'!G2:G11, "&lt;&gt;")</f>
        <v>10</v>
      </c>
      <c r="D12" s="17">
        <f>COUNTIF('Welcome Team'!G2:G11, "Pass")</f>
        <v>0</v>
      </c>
      <c r="E12" s="18">
        <f>COUNTIF('Welcome Team'!G2:G11, "Fail")</f>
        <v>0</v>
      </c>
      <c r="F12" s="19">
        <f>COUNTIF('Welcome Team'!G2:G11, "Unknown")</f>
        <v>10</v>
      </c>
      <c r="G12" s="24">
        <f t="shared" si="2"/>
        <v>0</v>
      </c>
      <c r="H12" s="25" t="s">
        <v>27</v>
      </c>
    </row>
    <row r="13" ht="24.0" customHeight="1">
      <c r="A13" s="15" t="s">
        <v>28</v>
      </c>
      <c r="B13" s="16" t="s">
        <v>29</v>
      </c>
      <c r="C13" s="16">
        <f>COUNTIF(Serve!G2:G11, "&lt;&gt;")</f>
        <v>10</v>
      </c>
      <c r="D13" s="17">
        <f>COUNTIF(Serve!G2:G11, "Pass")</f>
        <v>0</v>
      </c>
      <c r="E13" s="18">
        <f>COUNTIF(Serve!G2:G11, "Fail")</f>
        <v>0</v>
      </c>
      <c r="F13" s="19">
        <f>COUNTIF(Serve!G2:G11, "Unknown")</f>
        <v>10</v>
      </c>
      <c r="G13" s="20">
        <f t="shared" si="2"/>
        <v>0</v>
      </c>
      <c r="H13" s="21" t="s">
        <v>30</v>
      </c>
    </row>
    <row r="14" ht="24.0" customHeight="1">
      <c r="A14" s="22" t="s">
        <v>31</v>
      </c>
      <c r="B14" s="23" t="s">
        <v>32</v>
      </c>
      <c r="C14" s="23">
        <f>COUNTIF('Sermon Notes'!G2:G11, "&lt;&gt;")</f>
        <v>10</v>
      </c>
      <c r="D14" s="17">
        <f>COUNTIF('Sermon Notes'!G2:G11, "Pass")</f>
        <v>0</v>
      </c>
      <c r="E14" s="18">
        <f>COUNTIF('Sermon Notes'!G2:G11, "Fail")</f>
        <v>0</v>
      </c>
      <c r="F14" s="19">
        <f>COUNTIF('Sermon Notes'!G2:G11, "Unknown")</f>
        <v>10</v>
      </c>
      <c r="G14" s="24">
        <f t="shared" si="2"/>
        <v>0</v>
      </c>
      <c r="H14" s="25" t="s">
        <v>33</v>
      </c>
    </row>
    <row r="15" ht="24.0" customHeight="1">
      <c r="A15" s="15" t="s">
        <v>34</v>
      </c>
      <c r="B15" s="16" t="s">
        <v>35</v>
      </c>
      <c r="C15" s="16">
        <f>COUNTIF(Calendar!G2:G11, "&lt;&gt;")</f>
        <v>10</v>
      </c>
      <c r="D15" s="17">
        <f>COUNTIF(Calendar!G2:G11, "Pass")</f>
        <v>0</v>
      </c>
      <c r="E15" s="18">
        <f>COUNTIF(Calendar!G2:G11, "Fail")</f>
        <v>0</v>
      </c>
      <c r="F15" s="19">
        <f>COUNTIF(Calendar!G2:G11, "Unknown")</f>
        <v>10</v>
      </c>
      <c r="G15" s="20">
        <f t="shared" si="2"/>
        <v>0</v>
      </c>
      <c r="H15" s="21" t="s">
        <v>36</v>
      </c>
    </row>
    <row r="16" ht="24.0" customHeight="1">
      <c r="A16" s="22" t="s">
        <v>37</v>
      </c>
      <c r="B16" s="23" t="s">
        <v>38</v>
      </c>
      <c r="C16" s="23">
        <f>COUNTIF(Give!G2:G11, "&lt;&gt;")</f>
        <v>10</v>
      </c>
      <c r="D16" s="17">
        <f>COUNTIF(Give!G2:G11, "Pass")</f>
        <v>0</v>
      </c>
      <c r="E16" s="18">
        <f>COUNTIF(Give!G2:G11, "Fail")</f>
        <v>0</v>
      </c>
      <c r="F16" s="19">
        <f>COUNTIF(Give!G2:G11, "Unknown")</f>
        <v>10</v>
      </c>
      <c r="G16" s="24">
        <f t="shared" si="2"/>
        <v>0</v>
      </c>
      <c r="H16" s="25" t="s">
        <v>39</v>
      </c>
    </row>
    <row r="17" ht="24.0" customHeight="1">
      <c r="A17" s="15" t="s">
        <v>40</v>
      </c>
      <c r="B17" s="16" t="s">
        <v>41</v>
      </c>
      <c r="C17" s="16">
        <f>COUNTIF('Prayer Map'!G2:G11, "&lt;&gt;")</f>
        <v>10</v>
      </c>
      <c r="D17" s="17">
        <f>COUNTIF('Prayer Map'!G2:G11, "Pass")</f>
        <v>0</v>
      </c>
      <c r="E17" s="18">
        <f>COUNTIF('Prayer Map'!G2:G11, "Fail")</f>
        <v>0</v>
      </c>
      <c r="F17" s="19">
        <f>COUNTIF('Prayer Map'!G2:G11, "Unknown")</f>
        <v>10</v>
      </c>
      <c r="G17" s="20">
        <f t="shared" si="2"/>
        <v>0</v>
      </c>
      <c r="H17" s="21" t="s">
        <v>42</v>
      </c>
    </row>
    <row r="18" ht="24.0" customHeight="1">
      <c r="A18" s="22" t="s">
        <v>43</v>
      </c>
      <c r="B18" s="23" t="s">
        <v>44</v>
      </c>
      <c r="C18" s="23">
        <f>COUNTIF('About - Our Story'!G2:G11, "&lt;&gt;")</f>
        <v>10</v>
      </c>
      <c r="D18" s="17">
        <f>COUNTIF('About - Our Story'!G2:G11, "Pass")</f>
        <v>0</v>
      </c>
      <c r="E18" s="18">
        <f>COUNTIF('About - Our Story'!G2:G11, "Fail")</f>
        <v>0</v>
      </c>
      <c r="F18" s="19">
        <f>COUNTIF('About - Our Story'!G2:G11, "Unknown")</f>
        <v>10</v>
      </c>
      <c r="G18" s="24">
        <f t="shared" si="2"/>
        <v>0</v>
      </c>
      <c r="H18" s="25" t="s">
        <v>45</v>
      </c>
    </row>
    <row r="19" ht="24.0" customHeight="1">
      <c r="A19" s="15" t="s">
        <v>46</v>
      </c>
      <c r="B19" s="16" t="s">
        <v>47</v>
      </c>
      <c r="C19" s="16">
        <f>COUNTIF('About - Beliefs'!G2:G11, "&lt;&gt;")</f>
        <v>10</v>
      </c>
      <c r="D19" s="17">
        <f>COUNTIF('About - Beliefs'!G2:G11, "Pass")</f>
        <v>0</v>
      </c>
      <c r="E19" s="18">
        <f>COUNTIF('About - Beliefs'!G2:G11, "Fail")</f>
        <v>0</v>
      </c>
      <c r="F19" s="19">
        <f>COUNTIF('About - Beliefs'!G2:G11, "Unknown")</f>
        <v>10</v>
      </c>
      <c r="G19" s="20">
        <f t="shared" si="2"/>
        <v>0</v>
      </c>
      <c r="H19" s="21" t="s">
        <v>48</v>
      </c>
    </row>
    <row r="20" ht="24.0" customHeight="1">
      <c r="A20" s="22" t="s">
        <v>49</v>
      </c>
      <c r="B20" s="23" t="s">
        <v>50</v>
      </c>
      <c r="C20" s="23">
        <f>COUNTIF('About - News'!G2:G11, "&lt;&gt;")</f>
        <v>10</v>
      </c>
      <c r="D20" s="17">
        <f>COUNTIF('About - News'!G2:G11, "Pass")</f>
        <v>0</v>
      </c>
      <c r="E20" s="18">
        <f>COUNTIF('About - News'!G2:G11, "Fail")</f>
        <v>0</v>
      </c>
      <c r="F20" s="19">
        <f>COUNTIF('About - News'!G2:G11, "Unknown")</f>
        <v>10</v>
      </c>
      <c r="G20" s="24">
        <f t="shared" si="2"/>
        <v>0</v>
      </c>
      <c r="H20" s="25" t="s">
        <v>51</v>
      </c>
    </row>
    <row r="21" ht="24.0" customHeight="1">
      <c r="A21" s="15" t="s">
        <v>52</v>
      </c>
      <c r="B21" s="16" t="s">
        <v>53</v>
      </c>
      <c r="C21" s="16">
        <f>COUNTIF('About - Directory'!G2:G11, "&lt;&gt;")</f>
        <v>10</v>
      </c>
      <c r="D21" s="17">
        <f>COUNTIF('About - Directory'!G2:G11, "Pass")</f>
        <v>0</v>
      </c>
      <c r="E21" s="18">
        <f>COUNTIF('About - Directory'!G2:G11, "Fail")</f>
        <v>0</v>
      </c>
      <c r="F21" s="19">
        <f>COUNTIF('About - Directory'!G2:G11, "Unknown")</f>
        <v>10</v>
      </c>
      <c r="G21" s="20">
        <f t="shared" si="2"/>
        <v>0</v>
      </c>
      <c r="H21" s="21" t="s">
        <v>54</v>
      </c>
    </row>
    <row r="22" ht="24.0" customHeight="1">
      <c r="A22" s="22" t="s">
        <v>55</v>
      </c>
      <c r="B22" s="23" t="s">
        <v>56</v>
      </c>
      <c r="C22" s="23">
        <f>COUNTIF('About - Connect'!G2:G11, "&lt;&gt;")</f>
        <v>10</v>
      </c>
      <c r="D22" s="17">
        <f>COUNTIF('About - Connect'!G2:G11, "Pass")</f>
        <v>0</v>
      </c>
      <c r="E22" s="18">
        <f>COUNTIF('About - Connect'!G2:G11, "Fail")</f>
        <v>0</v>
      </c>
      <c r="F22" s="19">
        <f>COUNTIF('About - Connect'!G2:G11, "Unknown")</f>
        <v>10</v>
      </c>
      <c r="G22" s="24">
        <f t="shared" si="2"/>
        <v>0</v>
      </c>
      <c r="H22" s="25" t="s">
        <v>57</v>
      </c>
    </row>
    <row r="23" ht="24.0" customHeight="1">
      <c r="A23" s="15" t="s">
        <v>58</v>
      </c>
      <c r="B23" s="16" t="s">
        <v>59</v>
      </c>
      <c r="C23" s="16">
        <f>COUNTIF('Admin - Staff'!G2:G11, "&lt;&gt;")</f>
        <v>10</v>
      </c>
      <c r="D23" s="17">
        <f>COUNTIF('Admin - Staff'!G2:G11, "Pass")</f>
        <v>0</v>
      </c>
      <c r="E23" s="18">
        <f>COUNTIF('Admin - Staff'!G2:G11, "Fail")</f>
        <v>0</v>
      </c>
      <c r="F23" s="19">
        <f>COUNTIF('Admin - Staff'!G2:G11, "Unknown")</f>
        <v>10</v>
      </c>
      <c r="G23" s="20">
        <f t="shared" si="2"/>
        <v>0</v>
      </c>
      <c r="H23" s="21" t="s">
        <v>60</v>
      </c>
    </row>
    <row r="24" ht="24.0" customHeight="1">
      <c r="A24" s="22" t="s">
        <v>61</v>
      </c>
      <c r="B24" s="23" t="s">
        <v>62</v>
      </c>
      <c r="C24" s="23">
        <f>COUNTIF('Admin - Setup'!G2:G11, "&lt;&gt;")</f>
        <v>10</v>
      </c>
      <c r="D24" s="17">
        <f>COUNTIF('Admin - Setup'!G2:G11, "Pass")</f>
        <v>0</v>
      </c>
      <c r="E24" s="18">
        <f>COUNTIF('Admin - Setup'!G2:G11, "Fail")</f>
        <v>0</v>
      </c>
      <c r="F24" s="19">
        <f>COUNTIF('Admin - Setup'!G2:G11, "Unknown")</f>
        <v>10</v>
      </c>
      <c r="G24" s="24">
        <f t="shared" si="2"/>
        <v>0</v>
      </c>
      <c r="H24" s="25" t="s">
        <v>63</v>
      </c>
    </row>
    <row r="25" ht="24.0" customHeight="1">
      <c r="A25" s="15" t="s">
        <v>64</v>
      </c>
      <c r="B25" s="16" t="s">
        <v>65</v>
      </c>
      <c r="C25" s="16">
        <f>COUNTIF('Sitewide Chat'!G2:G11, "&lt;&gt;")</f>
        <v>10</v>
      </c>
      <c r="D25" s="17">
        <f>COUNTIF('Sitewide Chat'!G2:G11, "Pass")</f>
        <v>0</v>
      </c>
      <c r="E25" s="18">
        <f>COUNTIF('Sitewide Chat'!G2:G11, "Fail")</f>
        <v>0</v>
      </c>
      <c r="F25" s="19">
        <f>COUNTIF('Sitewide Chat'!G2:G11, "Unknown")</f>
        <v>10</v>
      </c>
      <c r="G25" s="20">
        <f t="shared" si="2"/>
        <v>0</v>
      </c>
      <c r="H25" s="21" t="s">
        <v>66</v>
      </c>
    </row>
    <row r="26" ht="25.5" customHeight="1">
      <c r="A26" s="26" t="s">
        <v>67</v>
      </c>
      <c r="B26" s="27" t="s">
        <v>68</v>
      </c>
      <c r="C26" s="27">
        <f t="shared" ref="C26:F26" si="3">SUM(C9:C25)</f>
        <v>180</v>
      </c>
      <c r="D26" s="28">
        <f t="shared" si="3"/>
        <v>0</v>
      </c>
      <c r="E26" s="29">
        <f t="shared" si="3"/>
        <v>0</v>
      </c>
      <c r="F26" s="30">
        <f t="shared" si="3"/>
        <v>180</v>
      </c>
      <c r="G26" s="31">
        <f t="shared" si="2"/>
        <v>0</v>
      </c>
      <c r="H26" s="32" t="s">
        <v>69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2:H2"/>
    <mergeCell ref="A4:B4"/>
    <mergeCell ref="E4:F4"/>
    <mergeCell ref="G4:H4"/>
    <mergeCell ref="A5:B5"/>
    <mergeCell ref="E5:F5"/>
    <mergeCell ref="G5:H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tr">
        <f>'Agentic Builder'!A2</f>
        <v>Ask AI to change pastor name</v>
      </c>
      <c r="B2" s="21" t="str">
        <f>'Agentic Builder'!B2</f>
        <v>Natural Language Editing</v>
      </c>
      <c r="C2" s="16" t="str">
        <f>'Agentic Builder'!C2</f>
        <v>Builder</v>
      </c>
      <c r="D2" s="21" t="str">
        <f>'Agentic Builder'!D2</f>
        <v>In review screen or preview banner, enter 'Change pastor name to Pastor John Mark' into Tekton edit box and click 'Change it'.</v>
      </c>
      <c r="E2" s="21" t="str">
        <f>'Agentic Builder'!E2</f>
        <v>Agent identifies lead pastor in staff collection, updates name to 'Pastor John Mark', confirms with 'Changed pastor to Pastor John Mark', and increments undo count.</v>
      </c>
      <c r="F2" s="21" t="str">
        <f>'Agentic Builder'!F2</f>
        <v/>
      </c>
      <c r="G2" s="16" t="str">
        <f>'Agentic Builder'!G2</f>
        <v>Unknown</v>
      </c>
    </row>
    <row r="3" ht="42.0" customHeight="1">
      <c r="A3" s="22" t="str">
        <f>'Agentic Builder'!A3</f>
        <v>Reorder sections: Put service times above ministries</v>
      </c>
      <c r="B3" s="25" t="str">
        <f>'Agentic Builder'!B3</f>
        <v>Natural Language Layout</v>
      </c>
      <c r="C3" s="23" t="str">
        <f>'Agentic Builder'!C3</f>
        <v>Builder</v>
      </c>
      <c r="D3" s="25" t="str">
        <f>'Agentic Builder'!D3</f>
        <v>Type 'Put service times above ministries' in Tekton edit box and click 'Change it'.</v>
      </c>
      <c r="E3" s="25" t="str">
        <f>'Agentic Builder'!E3</f>
        <v>Deterministic layout rule detects service_times and ministries on Home, moves service times before ministries, and confirms 'Moved Service times on Home above Ministries'.</v>
      </c>
      <c r="F3" s="25" t="str">
        <f>'Agentic Builder'!F3</f>
        <v/>
      </c>
      <c r="G3" s="23" t="str">
        <f>'Agentic Builder'!G3</f>
        <v>Unknown</v>
      </c>
    </row>
    <row r="4" ht="42.0" customHeight="1">
      <c r="A4" s="15" t="str">
        <f>'Agentic Builder'!A4</f>
        <v>Hide specific ministry: Hide the youth ministry</v>
      </c>
      <c r="B4" s="21" t="str">
        <f>'Agentic Builder'!B4</f>
        <v>Natural Language Visibility</v>
      </c>
      <c r="C4" s="16" t="str">
        <f>'Agentic Builder'!C4</f>
        <v>Builder</v>
      </c>
      <c r="D4" s="21" t="str">
        <f>'Agentic Builder'!D4</f>
        <v>Type 'Hide the youth ministry' into Tekton edit input and click 'Change it'.</v>
      </c>
      <c r="E4" s="21" t="str">
        <f>'Agentic Builder'!E4</f>
        <v>Agent matches 'Youth Ministry' in ministries collection, sets include: false, and replies 'Left out Youth Ministry'.</v>
      </c>
      <c r="F4" s="21" t="str">
        <f>'Agentic Builder'!F4</f>
        <v/>
      </c>
      <c r="G4" s="16" t="str">
        <f>'Agentic Builder'!G4</f>
        <v>Unknown</v>
      </c>
    </row>
    <row r="5" ht="42.0" customHeight="1">
      <c r="A5" s="22" t="str">
        <f>'Agentic Builder'!A5</f>
        <v>Move section to top: Move what to expect to the top</v>
      </c>
      <c r="B5" s="25" t="str">
        <f>'Agentic Builder'!B5</f>
        <v>Natural Language Layout</v>
      </c>
      <c r="C5" s="23" t="str">
        <f>'Agentic Builder'!C5</f>
        <v>Builder</v>
      </c>
      <c r="D5" s="25" t="str">
        <f>'Agentic Builder'!D5</f>
        <v>Type 'Move what to expect to the top' into Tekton edit input and click 'Change it'.</v>
      </c>
      <c r="E5" s="25" t="str">
        <f>'Agentic Builder'!E5</f>
        <v>Layout engine moves what_to_expect section on Plan your visit page to index 0 and replies 'Moved What to expect on Plan your visit to the top'.</v>
      </c>
      <c r="F5" s="25" t="str">
        <f>'Agentic Builder'!F5</f>
        <v/>
      </c>
      <c r="G5" s="23" t="str">
        <f>'Agentic Builder'!G5</f>
        <v>Unknown</v>
      </c>
    </row>
    <row r="6" ht="42.0" customHeight="1">
      <c r="A6" s="15" t="str">
        <f>'Agentic Builder'!A6</f>
        <v>Update church phone number via plain text command</v>
      </c>
      <c r="B6" s="21" t="str">
        <f>'Agentic Builder'!B6</f>
        <v>Natural Language Detail Update</v>
      </c>
      <c r="C6" s="16" t="str">
        <f>'Agentic Builder'!C6</f>
        <v>Builder</v>
      </c>
      <c r="D6" s="21" t="str">
        <f>'Agentic Builder'!D6</f>
        <v>Type 'Change the phone number to (555) 019-9988' into Tekton edit input and click 'Change it'.</v>
      </c>
      <c r="E6" s="21" t="str">
        <f>'Agentic Builder'!E6</f>
        <v>Agent parses new phone format, validates number, updates church contact phone field, and replies 'Changed phone to (555) 019-9988'.</v>
      </c>
      <c r="F6" s="21" t="str">
        <f>'Agentic Builder'!F6</f>
        <v/>
      </c>
      <c r="G6" s="16" t="str">
        <f>'Agentic Builder'!G6</f>
        <v>Unknown</v>
      </c>
    </row>
    <row r="7" ht="42.0" customHeight="1">
      <c r="A7" s="22" t="str">
        <f>'Agentic Builder'!A7</f>
        <v>Undo previous edit operation</v>
      </c>
      <c r="B7" s="25" t="str">
        <f>'Agentic Builder'!B7</f>
        <v>Revision Control</v>
      </c>
      <c r="C7" s="23" t="str">
        <f>'Agentic Builder'!C7</f>
        <v>Builder</v>
      </c>
      <c r="D7" s="25" t="str">
        <f>'Agentic Builder'!D7</f>
        <v>Click 'Undo' button after executing a section reordering or detail change.</v>
      </c>
      <c r="E7" s="25" t="str">
        <f>'Agentic Builder'!E7</f>
        <v>Restores previous draft snapshot state from undo stack, decrements undo count, and announces reversed changes.</v>
      </c>
      <c r="F7" s="25" t="str">
        <f>'Agentic Builder'!F7</f>
        <v/>
      </c>
      <c r="G7" s="23" t="str">
        <f>'Agentic Builder'!G7</f>
        <v>Unknown</v>
      </c>
    </row>
    <row r="8" ht="42.0" customHeight="1">
      <c r="A8" s="15" t="str">
        <f>'Agentic Builder'!A8</f>
        <v>Import website from live URL (Happy path crawl)</v>
      </c>
      <c r="B8" s="21" t="str">
        <f>'Agentic Builder'!B8</f>
        <v>URL Crawl &amp; Ingestion</v>
      </c>
      <c r="C8" s="16" t="str">
        <f>'Agentic Builder'!C8</f>
        <v>Builder</v>
      </c>
      <c r="D8" s="21" t="str">
        <f>'Agentic Builder'!D8</f>
        <v>Select 'Import a website', enter 'https://cedarhollow.example.org', and click 'Start import'.</v>
      </c>
      <c r="E8" s="21" t="str">
        <f>'Agentic Builder'!E8</f>
        <v>Crawler reads sitemap and top pages within robots.txt limits, extracts name, address, phone, email, and service times with 0 false conflicts, and transitions to review.</v>
      </c>
      <c r="F8" s="21" t="str">
        <f>'Agentic Builder'!F8</f>
        <v/>
      </c>
      <c r="G8" s="16" t="str">
        <f>'Agentic Builder'!G8</f>
        <v>Unknown</v>
      </c>
    </row>
    <row r="9" ht="42.0" customHeight="1">
      <c r="A9" s="22" t="str">
        <f>'Agentic Builder'!A9</f>
        <v>Detect conflicting service times from messy site</v>
      </c>
      <c r="B9" s="25" t="str">
        <f>'Agentic Builder'!B9</f>
        <v>Conflict Detection</v>
      </c>
      <c r="C9" s="23" t="str">
        <f>'Agentic Builder'!C9</f>
        <v>Builder</v>
      </c>
      <c r="D9" s="25" t="str">
        <f>'Agentic Builder'!D9</f>
        <v>Import URL containing conflicting times: 'Sundays 9 &amp; 11' on home page and 'Sunday 10:30am' on news post.</v>
      </c>
      <c r="E9" s="25" t="str">
        <f>'Agentic Builder'!E9</f>
        <v>Draft status transitions to clarifying; displays conflict question card showing both candidate times with verbatim source quotes and page links.</v>
      </c>
      <c r="F9" s="25" t="str">
        <f>'Agentic Builder'!F9</f>
        <v/>
      </c>
      <c r="G9" s="23" t="str">
        <f>'Agentic Builder'!G9</f>
        <v>Unknown</v>
      </c>
    </row>
    <row r="10" ht="42.0" customHeight="1">
      <c r="A10" s="15" t="str">
        <f>'Agentic Builder'!A10</f>
        <v>Resolve service time conflict by picking candidate card</v>
      </c>
      <c r="B10" s="21" t="str">
        <f>'Agentic Builder'!B10</f>
        <v>Human Clarification Flow</v>
      </c>
      <c r="C10" s="16" t="str">
        <f>'Agentic Builder'!C10</f>
        <v>Builder</v>
      </c>
      <c r="D10" s="21" t="str">
        <f>'Agentic Builder'!D10</f>
        <v>On service times conflict card, click candidate 'Sunday 9:00 AM, Sunday 11:00 AM' and click 'Confirm answer'.</v>
      </c>
      <c r="E10" s="21" t="str">
        <f>'Agentic Builder'!E10</f>
        <v>Selected service times are locked into confirmed status with provenance attribution; builder advances to next question or review.</v>
      </c>
      <c r="F10" s="21" t="str">
        <f>'Agentic Builder'!F10</f>
        <v/>
      </c>
      <c r="G10" s="16" t="str">
        <f>'Agentic Builder'!G10</f>
        <v>Unknown</v>
      </c>
    </row>
    <row r="11" ht="42.0" customHeight="1">
      <c r="A11" s="22" t="str">
        <f>'Agentic Builder'!A11</f>
        <v>Prompt for missing required address and accept manual input</v>
      </c>
      <c r="B11" s="25" t="str">
        <f>'Agentic Builder'!B11</f>
        <v>Gap Detection &amp; Form Validation</v>
      </c>
      <c r="C11" s="23" t="str">
        <f>'Agentic Builder'!C11</f>
        <v>Builder</v>
      </c>
      <c r="D11" s="25" t="str">
        <f>'Agentic Builder'!D11</f>
        <v>When presented with 'We could not find street address', type '100 Faith Way, Springfield, IL 62701' into input and submit.</v>
      </c>
      <c r="E11" s="25" t="str">
        <f>'Agentic Builder'!E11</f>
        <v>Manual address entry is validated, saved to draft with confirmed status ('You confirmed this'), and question resolves.</v>
      </c>
      <c r="F11" s="25" t="str">
        <f>'Agentic Builder'!F11</f>
        <v/>
      </c>
      <c r="G11" s="23" t="str">
        <f>'Agentic Builder'!G11</f>
        <v>Unknown</v>
      </c>
    </row>
    <row r="12" ht="42.0" customHeight="1">
      <c r="A12" s="15" t="str">
        <f>'Agentic Builder'!A12</f>
        <v>Ingest PDF church bulletin and extract facts</v>
      </c>
      <c r="B12" s="21" t="str">
        <f>'Agentic Builder'!B12</f>
        <v>Document Extraction - PDF</v>
      </c>
      <c r="C12" s="16" t="str">
        <f>'Agentic Builder'!C12</f>
        <v>Builder</v>
      </c>
      <c r="D12" s="21" t="str">
        <f>'Agentic Builder'!D12</f>
        <v>Select 'Upload files', drag and drop a 2 MB weekly church bulletin PDF containing service times and pastor bio, and click 'Read files'.</v>
      </c>
      <c r="E12" s="21" t="str">
        <f>'Agentic Builder'!E12</f>
        <v>Server parses PDF text streams, applies NLP regex patterns, extracts service times and staff items, and displays quotes referencing PDF filename.</v>
      </c>
      <c r="F12" s="21" t="str">
        <f>'Agentic Builder'!F12</f>
        <v/>
      </c>
      <c r="G12" s="16" t="str">
        <f>'Agentic Builder'!G12</f>
        <v>Unknown</v>
      </c>
    </row>
    <row r="13" ht="42.0" customHeight="1">
      <c r="A13" s="22" t="str">
        <f>'Agentic Builder'!A13</f>
        <v>Ingest church flyer image via Vision AI OCR</v>
      </c>
      <c r="B13" s="25" t="str">
        <f>'Agentic Builder'!B13</f>
        <v>Multimodal Vision Extraction</v>
      </c>
      <c r="C13" s="23" t="str">
        <f>'Agentic Builder'!C13</f>
        <v>Builder</v>
      </c>
      <c r="D13" s="25" t="str">
        <f>'Agentic Builder'!D13</f>
        <v>Upload church flyer image (JPEG/PNG) displaying worship schedule and logo.</v>
      </c>
      <c r="E13" s="25" t="str">
        <f>'Agentic Builder'!E13</f>
        <v>Vision AI transcribes image text into machine-readable prose; rules parser extracts church schedule and logo reference.</v>
      </c>
      <c r="F13" s="25" t="str">
        <f>'Agentic Builder'!F13</f>
        <v/>
      </c>
      <c r="G13" s="23" t="str">
        <f>'Agentic Builder'!G13</f>
        <v>Unknown</v>
      </c>
    </row>
    <row r="14" ht="42.0" customHeight="1">
      <c r="A14" s="15" t="str">
        <f>'Agentic Builder'!A14</f>
        <v>Reject file upload exceeding 10 MB total size limit</v>
      </c>
      <c r="B14" s="21" t="str">
        <f>'Agentic Builder'!B14</f>
        <v>Security &amp; File Validation</v>
      </c>
      <c r="C14" s="16" t="str">
        <f>'Agentic Builder'!C14</f>
        <v>Builder</v>
      </c>
      <c r="D14" s="21" t="str">
        <f>'Agentic Builder'!D14</f>
        <v>Select 3 PDF files totaling 14 MB and click 'Read files'.</v>
      </c>
      <c r="E14" s="21" t="str">
        <f>'Agentic Builder'!E14</f>
        <v>Client and server reject upload with error: 'Choose 1 to 5 files, each 5 MB or smaller and at most 10 MB in total.' without crashing.</v>
      </c>
      <c r="F14" s="21" t="str">
        <f>'Agentic Builder'!F14</f>
        <v/>
      </c>
      <c r="G14" s="16" t="str">
        <f>'Agentic Builder'!G14</f>
        <v>Unknown</v>
      </c>
    </row>
    <row r="15" ht="42.0" customHeight="1">
      <c r="A15" s="22" t="str">
        <f>'Agentic Builder'!A15</f>
        <v>Enforce robots.txt Disallow and Crawl-delay rules</v>
      </c>
      <c r="B15" s="25" t="str">
        <f>'Agentic Builder'!B15</f>
        <v>Crawler Compliance</v>
      </c>
      <c r="C15" s="23" t="str">
        <f>'Agentic Builder'!C15</f>
        <v>Builder</v>
      </c>
      <c r="D15" s="25" t="str">
        <f>'Agentic Builder'!D15</f>
        <v>Import site whose robots.txt disallows '/members/*' and sets 'Crawl-delay: 2'.</v>
      </c>
      <c r="E15" s="25" t="str">
        <f>'Agentic Builder'!E15</f>
        <v>Crawler strictly skips disallowed URLs under /members/, applies 2-second rate limit between fetches, and notes compliance in draft notes.</v>
      </c>
      <c r="F15" s="25" t="str">
        <f>'Agentic Builder'!F15</f>
        <v/>
      </c>
      <c r="G15" s="23" t="str">
        <f>'Agentic Builder'!G15</f>
        <v>Unknown</v>
      </c>
    </row>
    <row r="16" ht="42.0" customHeight="1">
      <c r="A16" s="15" t="str">
        <f>'Agentic Builder'!A16</f>
        <v>Reject private IP and localhost URLs (SSRF Guard)</v>
      </c>
      <c r="B16" s="21" t="str">
        <f>'Agentic Builder'!B16</f>
        <v>Network Security &amp; SSRF Prevention</v>
      </c>
      <c r="C16" s="16" t="str">
        <f>'Agentic Builder'!C16</f>
        <v>Builder</v>
      </c>
      <c r="D16" s="21" t="str">
        <f>'Agentic Builder'!D16</f>
        <v>Enter 'http://127.0.0.1:8000' or 'http://192.168.1.1' into website import input and click 'Start import'.</v>
      </c>
      <c r="E16" s="21" t="str">
        <f>'Agentic Builder'!E16</f>
        <v>System rejects private network URL with security validation error stating private addresses cannot be imported.</v>
      </c>
      <c r="F16" s="21" t="str">
        <f>'Agentic Builder'!F16</f>
        <v/>
      </c>
      <c r="G16" s="16" t="str">
        <f>'Agentic Builder'!G16</f>
        <v>Unknown</v>
      </c>
    </row>
    <row r="17" ht="42.0" customHeight="1">
      <c r="A17" s="22" t="str">
        <f>'Agentic Builder'!A17</f>
        <v>Request theme color change via natural language prompt</v>
      </c>
      <c r="B17" s="25" t="str">
        <f>'Agentic Builder'!B17</f>
        <v>Natural Language Theming</v>
      </c>
      <c r="C17" s="23" t="str">
        <f>'Agentic Builder'!C17</f>
        <v>Builder</v>
      </c>
      <c r="D17" s="25" t="str">
        <f>'Agentic Builder'!D17</f>
        <v>In TektonEdit input, enter 'Change site primary color theme to royal navy blue and gold' and click 'Change it'.</v>
      </c>
      <c r="E17" s="25" t="str">
        <f>'Agentic Builder'!E17</f>
        <v>Builder updates site theme palette to navy blue and gold in session site theme configuration.</v>
      </c>
      <c r="F17" s="25" t="str">
        <f>'Agentic Builder'!F17</f>
        <v/>
      </c>
      <c r="G17" s="23" t="str">
        <f>'Agentic Builder'!G17</f>
        <v>Unknown</v>
      </c>
    </row>
    <row r="18" ht="42.0" customHeight="1">
      <c r="A18" s="15" t="str">
        <f>'Agentic Builder'!A18</f>
        <v>Request subjective marketing / theological copy generation</v>
      </c>
      <c r="B18" s="21" t="str">
        <f>'Agentic Builder'!B18</f>
        <v>Content Generation Guardrail</v>
      </c>
      <c r="C18" s="16" t="str">
        <f>'Agentic Builder'!C18</f>
        <v>Builder</v>
      </c>
      <c r="D18" s="21" t="str">
        <f>'Agentic Builder'!D18</f>
        <v>Enter 'Write a 3-paragraph welcome message emphasizing Reformed doctrine and warm fellowship' and click 'Change it'.</v>
      </c>
      <c r="E18" s="21" t="str">
        <f>'Agentic Builder'!E18</f>
        <v>Agent generates and injects new custom welcome prose onto Home page.</v>
      </c>
      <c r="F18" s="21" t="str">
        <f>'Agentic Builder'!F18</f>
        <v/>
      </c>
      <c r="G18" s="16" t="str">
        <f>'Agentic Builder'!G18</f>
        <v>Unknown</v>
      </c>
    </row>
    <row r="19" ht="42.0" customHeight="1">
      <c r="A19" s="22" t="str">
        <f>'Agentic Builder'!A19</f>
        <v>Ingest scanned bulletin PDF without Vision AI configured</v>
      </c>
      <c r="B19" s="25" t="str">
        <f>'Agentic Builder'!B19</f>
        <v>Multimodal Vision Degradation</v>
      </c>
      <c r="C19" s="23" t="str">
        <f>'Agentic Builder'!C19</f>
        <v>Builder</v>
      </c>
      <c r="D19" s="25" t="str">
        <f>'Agentic Builder'!D19</f>
        <v>Upload a scanned image-only PDF bulletin while the Vision AI model is offline or unconfigured.</v>
      </c>
      <c r="E19" s="25" t="str">
        <f>'Agentic Builder'!E19</f>
        <v>System automatically performs OCR and extracts service times from scanned pages.</v>
      </c>
      <c r="F19" s="25" t="str">
        <f>'Agentic Builder'!F19</f>
        <v/>
      </c>
      <c r="G19" s="23" t="str">
        <f>'Agentic Builder'!G19</f>
        <v>Unknown</v>
      </c>
    </row>
    <row r="20" ht="42.0" customHeight="1">
      <c r="A20" s="15" t="str">
        <f>'Agentic Builder'!A20</f>
        <v>Crawl website with 500 server error on robots.txt</v>
      </c>
      <c r="B20" s="21" t="str">
        <f>'Agentic Builder'!B20</f>
        <v>Robots.txt Policy Enforcement</v>
      </c>
      <c r="C20" s="16" t="str">
        <f>'Agentic Builder'!C20</f>
        <v>Builder</v>
      </c>
      <c r="D20" s="21" t="str">
        <f>'Agentic Builder'!D20</f>
        <v>Import website URL where robots.txt endpoint times out or returns HTTP 500 error.</v>
      </c>
      <c r="E20" s="21" t="str">
        <f>'Agentic Builder'!E20</f>
        <v>Crawler skips robots.txt check and proceeds to crawl public sitemap pages.</v>
      </c>
      <c r="F20" s="21" t="str">
        <f>'Agentic Builder'!F20</f>
        <v/>
      </c>
      <c r="G20" s="16" t="str">
        <f>'Agentic Builder'!G20</f>
        <v>Unknown</v>
      </c>
    </row>
    <row r="21" ht="42.0" customHeight="1">
      <c r="A21" s="22" t="str">
        <f>'Agentic Builder'!A21</f>
        <v>Publish live production church without invite code</v>
      </c>
      <c r="B21" s="25" t="str">
        <f>'Agentic Builder'!B21</f>
        <v>Tenant Provisioning Guardrail</v>
      </c>
      <c r="C21" s="23" t="str">
        <f>'Agentic Builder'!C21</f>
        <v>Builder</v>
      </c>
      <c r="D21" s="25" t="str">
        <f>'Agentic Builder'!D21</f>
        <v>On preview screen, attempt to provision and deploy a new live church tenant without entering an invite code.</v>
      </c>
      <c r="E21" s="25" t="str">
        <f>'Agentic Builder'!E21</f>
        <v>System provisions new church tenant and deploys public domain.</v>
      </c>
      <c r="F21" s="25" t="str">
        <f>'Agentic Builder'!F21</f>
        <v/>
      </c>
      <c r="G21" s="23" t="str">
        <f>'Agentic Builder'!G21</f>
        <v>Unknown</v>
      </c>
    </row>
    <row r="22" ht="42.0" customHeight="1">
      <c r="A22" s="15" t="str">
        <f>Home!A2</f>
        <v>Hero CTA: Find a place to serve button</v>
      </c>
      <c r="B22" s="21" t="str">
        <f>Home!B2</f>
        <v>Navigation &amp; User Flow</v>
      </c>
      <c r="C22" s="16" t="str">
        <f>Home!C2</f>
        <v>Home</v>
      </c>
      <c r="D22" s="21" t="str">
        <f>Home!D2</f>
        <v>Click 'Find a place to serve' primary button on the hero banner.</v>
      </c>
      <c r="E22" s="21" t="str">
        <f>Home!E2</f>
        <v>Application navigates directly to '#/serve/find' volunteer matching page.</v>
      </c>
      <c r="F22" s="21" t="str">
        <f>Home!F2</f>
        <v/>
      </c>
      <c r="G22" s="16" t="str">
        <f>Home!G2</f>
        <v>Unknown</v>
      </c>
    </row>
    <row r="23" ht="42.0" customHeight="1">
      <c r="A23" s="22" t="str">
        <f>Home!A3</f>
        <v>Hero CTA: Planning your first visit button</v>
      </c>
      <c r="B23" s="25" t="str">
        <f>Home!B3</f>
        <v>Navigation &amp; User Flow</v>
      </c>
      <c r="C23" s="23" t="str">
        <f>Home!C3</f>
        <v>Home</v>
      </c>
      <c r="D23" s="25" t="str">
        <f>Home!D3</f>
        <v>Click 'Planning your first visit?' secondary button on the hero banner.</v>
      </c>
      <c r="E23" s="25" t="str">
        <f>Home!E3</f>
        <v>Application navigates directly to '#/guests/plan' first-time guest page.</v>
      </c>
      <c r="F23" s="25" t="str">
        <f>Home!F3</f>
        <v/>
      </c>
      <c r="G23" s="23" t="str">
        <f>Home!G3</f>
        <v>Unknown</v>
      </c>
    </row>
    <row r="24" ht="42.0" customHeight="1">
      <c r="A24" s="15" t="str">
        <f>Home!A4</f>
        <v>Hero CTA: Ask Tekton chat launcher</v>
      </c>
      <c r="B24" s="21" t="str">
        <f>Home!B4</f>
        <v>AI Assistant Integration</v>
      </c>
      <c r="C24" s="16" t="str">
        <f>Home!C4</f>
        <v>Home</v>
      </c>
      <c r="D24" s="21" t="str">
        <f>Home!D4</f>
        <v>Click 'Ask Tekton' button with chat icon in the hero banner.</v>
      </c>
      <c r="E24" s="21" t="str">
        <f>Home!E4</f>
        <v>Sitewide chat assistant drawer slides open from right with greeting message.</v>
      </c>
      <c r="F24" s="21" t="str">
        <f>Home!F4</f>
        <v/>
      </c>
      <c r="G24" s="16" t="str">
        <f>Home!G4</f>
        <v>Unknown</v>
      </c>
    </row>
    <row r="25" ht="42.0" customHeight="1">
      <c r="A25" s="22" t="str">
        <f>Home!A5</f>
        <v>Serve feature card navigation</v>
      </c>
      <c r="B25" s="25" t="str">
        <f>Home!B5</f>
        <v>Feature Card Routing</v>
      </c>
      <c r="C25" s="23" t="str">
        <f>Home!C5</f>
        <v>Home</v>
      </c>
      <c r="D25" s="25" t="str">
        <f>Home!D5</f>
        <v>Click 'Serve' feature card in the main features grid.</v>
      </c>
      <c r="E25" s="25" t="str">
        <f>Home!E5</f>
        <v>Navigates to '#/serve' ministries directory overview page.</v>
      </c>
      <c r="F25" s="25" t="str">
        <f>Home!F5</f>
        <v/>
      </c>
      <c r="G25" s="23" t="str">
        <f>Home!G5</f>
        <v>Unknown</v>
      </c>
    </row>
    <row r="26" ht="42.0" customHeight="1">
      <c r="A26" s="15" t="str">
        <f>Home!A6</f>
        <v>Sermon Notes feature card navigation</v>
      </c>
      <c r="B26" s="21" t="str">
        <f>Home!B6</f>
        <v>Feature Card Routing</v>
      </c>
      <c r="C26" s="16" t="str">
        <f>Home!C6</f>
        <v>Home</v>
      </c>
      <c r="D26" s="21" t="str">
        <f>Home!D6</f>
        <v>Click 'Sermon Notes' feature card in the main features grid.</v>
      </c>
      <c r="E26" s="21" t="str">
        <f>Home!E6</f>
        <v>Navigates to '#/notes' sermon notes transcript archive.</v>
      </c>
      <c r="F26" s="21" t="str">
        <f>Home!F6</f>
        <v/>
      </c>
      <c r="G26" s="16" t="str">
        <f>Home!G6</f>
        <v>Unknown</v>
      </c>
    </row>
    <row r="27" ht="42.0" customHeight="1">
      <c r="A27" s="22" t="str">
        <f>Home!A7</f>
        <v>Give feature card goal progress bar display</v>
      </c>
      <c r="B27" s="25" t="str">
        <f>Home!B7</f>
        <v>Fundraising Goal Tracking</v>
      </c>
      <c r="C27" s="23" t="str">
        <f>Home!C7</f>
        <v>Home</v>
      </c>
      <c r="D27" s="25" t="str">
        <f>Home!D7</f>
        <v>Inspect Give feature card when a church fund has an active fundraising goal.</v>
      </c>
      <c r="E27" s="25" t="str">
        <f>Home!E7</f>
        <v>Card displays fund name, raised amount, goal amount, and accurately styled visual percentage progress bar.</v>
      </c>
      <c r="F27" s="25" t="str">
        <f>Home!F7</f>
        <v/>
      </c>
      <c r="G27" s="23" t="str">
        <f>Home!G7</f>
        <v>Unknown</v>
      </c>
    </row>
    <row r="28" ht="42.0" customHeight="1">
      <c r="A28" s="15" t="str">
        <f>Home!A8</f>
        <v>Get to know us directory quick button</v>
      </c>
      <c r="B28" s="21" t="str">
        <f>Home!B8</f>
        <v>Quick Links Navigation</v>
      </c>
      <c r="C28" s="16" t="str">
        <f>Home!C8</f>
        <v>Home</v>
      </c>
      <c r="D28" s="21" t="str">
        <f>Home!D8</f>
        <v>Click 'Contact directory' button in the 'Get to know us' section.</v>
      </c>
      <c r="E28" s="21" t="str">
        <f>Home!E8</f>
        <v>Navigates directly to '#/about/directory' staff contact listing.</v>
      </c>
      <c r="F28" s="21" t="str">
        <f>Home!F8</f>
        <v/>
      </c>
      <c r="G28" s="16" t="str">
        <f>Home!G8</f>
        <v>Unknown</v>
      </c>
    </row>
    <row r="29" ht="42.0" customHeight="1">
      <c r="A29" s="22" t="str">
        <f>Home!A9</f>
        <v>Service times and address card rendering</v>
      </c>
      <c r="B29" s="25" t="str">
        <f>Home!B9</f>
        <v>Visitor Information</v>
      </c>
      <c r="C29" s="23" t="str">
        <f>Home!C9</f>
        <v>Home</v>
      </c>
      <c r="D29" s="25" t="str">
        <f>Home!D9</f>
        <v>Inspect 'Service times' block on the Home page.</v>
      </c>
      <c r="E29" s="25" t="str">
        <f>Home!E9</f>
        <v>Displays weekly gathering schedule (e.g. 'Sunday 9:00 AM &amp; 11:00 AM') and church physical address with location pin icon.</v>
      </c>
      <c r="F29" s="25" t="str">
        <f>Home!F9</f>
        <v/>
      </c>
      <c r="G29" s="23" t="str">
        <f>Home!G9</f>
        <v>Unknown</v>
      </c>
    </row>
    <row r="30" ht="42.0" customHeight="1">
      <c r="A30" s="15" t="str">
        <f>Home!A10</f>
        <v>Watch Live external link when livestream is unconfigured</v>
      </c>
      <c r="B30" s="21" t="str">
        <f>Home!B10</f>
        <v>Livestream Integration</v>
      </c>
      <c r="C30" s="16" t="str">
        <f>Home!C10</f>
        <v>Home</v>
      </c>
      <c r="D30" s="21" t="str">
        <f>Home!D10</f>
        <v>Click 'Watch live' hero action button when church has no active livestream URL configured.</v>
      </c>
      <c r="E30" s="21" t="str">
        <f>Home!E10</f>
        <v>Displays friendly popup indicating no active broadcast is currently streaming.</v>
      </c>
      <c r="F30" s="21" t="str">
        <f>Home!F10</f>
        <v/>
      </c>
      <c r="G30" s="16" t="str">
        <f>Home!G10</f>
        <v>Unknown</v>
      </c>
    </row>
    <row r="31" ht="42.0" customHeight="1">
      <c r="A31" s="22" t="str">
        <f>Home!A11</f>
        <v>Hero about text rendering on new unconfigured church</v>
      </c>
      <c r="B31" s="25" t="str">
        <f>Home!B11</f>
        <v>Tenant Onboarding Display</v>
      </c>
      <c r="C31" s="23" t="str">
        <f>Home!C11</f>
        <v>Home</v>
      </c>
      <c r="D31" s="25" t="str">
        <f>Home!D11</f>
        <v>Open Home page for newly provisioned church with no about description provided.</v>
      </c>
      <c r="E31" s="25" t="str">
        <f>Home!E11</f>
        <v>Displays elegant onboarding prompt guiding visitors and staff to add story.</v>
      </c>
      <c r="F31" s="25" t="str">
        <f>Home!F11</f>
        <v/>
      </c>
      <c r="G31" s="23" t="str">
        <f>Home!G11</f>
        <v>Unknown</v>
      </c>
    </row>
    <row r="32" ht="42.0" customHeight="1">
      <c r="A32" s="15" t="str">
        <f>'Plan Your Visit'!A2</f>
        <v>Submit guest visit RSVP registration form</v>
      </c>
      <c r="B32" s="21" t="str">
        <f>'Plan Your Visit'!B2</f>
        <v>Guest Registration Flow</v>
      </c>
      <c r="C32" s="16" t="str">
        <f>'Plan Your Visit'!C2</f>
        <v>Guests - Plan Your Visit</v>
      </c>
      <c r="D32" s="21" t="str">
        <f>'Plan Your Visit'!D2</f>
        <v>Fill in name 'Sarah Jenkins', contact 'sarah@example.org', select 'Sunday 9:00 AM', party size 3, and click 'Let us know you’re coming'.</v>
      </c>
      <c r="E32" s="21" t="str">
        <f>'Plan Your Visit'!E2</f>
        <v>Form submits to POST /api/visits, receives visit token, saves token to localStorage, and updates UI to registered state.</v>
      </c>
      <c r="F32" s="21" t="str">
        <f>'Plan Your Visit'!F2</f>
        <v/>
      </c>
      <c r="G32" s="16" t="str">
        <f>'Plan Your Visit'!G2</f>
        <v>Unknown</v>
      </c>
    </row>
    <row r="33" ht="42.0" customHeight="1">
      <c r="A33" s="22" t="str">
        <f>'Plan Your Visit'!A3</f>
        <v>Validate required fields in visit registration</v>
      </c>
      <c r="B33" s="25" t="str">
        <f>'Plan Your Visit'!B3</f>
        <v>Form Validation</v>
      </c>
      <c r="C33" s="23" t="str">
        <f>'Plan Your Visit'!C3</f>
        <v>Guests - Plan Your Visit</v>
      </c>
      <c r="D33" s="25" t="str">
        <f>'Plan Your Visit'!D3</f>
        <v>Leave name and contact fields blank and click 'Let us know you’re coming'.</v>
      </c>
      <c r="E33" s="25" t="str">
        <f>'Plan Your Visit'!E3</f>
        <v>Browser displays HTML5 validation prompt on required name and contact inputs; submission is halted.</v>
      </c>
      <c r="F33" s="25" t="str">
        <f>'Plan Your Visit'!F3</f>
        <v/>
      </c>
      <c r="G33" s="23" t="str">
        <f>'Plan Your Visit'!G3</f>
        <v>Unknown</v>
      </c>
    </row>
    <row r="34" ht="42.0" customHeight="1">
      <c r="A34" s="15" t="str">
        <f>'Plan Your Visit'!A4</f>
        <v>Select service time from dynamic dropdown</v>
      </c>
      <c r="B34" s="21" t="str">
        <f>'Plan Your Visit'!B4</f>
        <v>Form Interaction</v>
      </c>
      <c r="C34" s="16" t="str">
        <f>'Plan Your Visit'!C4</f>
        <v>Guests - Plan Your Visit</v>
      </c>
      <c r="D34" s="21" t="str">
        <f>'Plan Your Visit'!D4</f>
        <v>Click service time dropdown and select second gathering 'Sunday 11:00 AM'.</v>
      </c>
      <c r="E34" s="21" t="str">
        <f>'Plan Your Visit'!E4</f>
        <v>Selected service time state updates and is included in the visit payload.</v>
      </c>
      <c r="F34" s="21" t="str">
        <f>'Plan Your Visit'!F4</f>
        <v/>
      </c>
      <c r="G34" s="16" t="str">
        <f>'Plan Your Visit'!G4</f>
        <v>Unknown</v>
      </c>
    </row>
    <row r="35" ht="42.0" customHeight="1">
      <c r="A35" s="22" t="str">
        <f>'Plan Your Visit'!A5</f>
        <v>Toggle 'I’d like someone to meet me' host checkbox</v>
      </c>
      <c r="B35" s="25" t="str">
        <f>'Plan Your Visit'!B5</f>
        <v>Hospitality Preferences</v>
      </c>
      <c r="C35" s="23" t="str">
        <f>'Plan Your Visit'!C5</f>
        <v>Guests - Plan Your Visit</v>
      </c>
      <c r="D35" s="25" t="str">
        <f>'Plan Your Visit'!D5</f>
        <v>Uncheck the 'I’d like someone to meet me at the front doors' checkbox.</v>
      </c>
      <c r="E35" s="25" t="str">
        <f>'Plan Your Visit'!E5</f>
        <v>wantsHost state sets to false; submitted visit payload reflects 'wants_host: false'.</v>
      </c>
      <c r="F35" s="25" t="str">
        <f>'Plan Your Visit'!F5</f>
        <v/>
      </c>
      <c r="G35" s="23" t="str">
        <f>'Plan Your Visit'!G5</f>
        <v>Unknown</v>
      </c>
    </row>
    <row r="36" ht="42.0" customHeight="1">
      <c r="A36" s="15" t="str">
        <f>'Plan Your Visit'!A6</f>
        <v>Click 'I’m on my way' arrival notification button</v>
      </c>
      <c r="B36" s="21" t="str">
        <f>'Plan Your Visit'!B6</f>
        <v>Guest Arrival Flow</v>
      </c>
      <c r="C36" s="16" t="str">
        <f>'Plan Your Visit'!C6</f>
        <v>Guests - Plan Your Visit</v>
      </c>
      <c r="D36" s="21" t="str">
        <f>'Plan Your Visit'!D6</f>
        <v>On the confirmed visit card, click 'I’m on my way' button.</v>
      </c>
      <c r="E36" s="21" t="str">
        <f>'Plan Your Visit'!E6</f>
        <v>Visits API updates status to 'on_the_way'; welcome team queue receives live status update.</v>
      </c>
      <c r="F36" s="21" t="str">
        <f>'Plan Your Visit'!F6</f>
        <v/>
      </c>
      <c r="G36" s="16" t="str">
        <f>'Plan Your Visit'!G6</f>
        <v>Unknown</v>
      </c>
    </row>
    <row r="37" ht="42.0" customHeight="1">
      <c r="A37" s="22" t="str">
        <f>'Plan Your Visit'!A7</f>
        <v>Click 'I have arrived' check-in button</v>
      </c>
      <c r="B37" s="25" t="str">
        <f>'Plan Your Visit'!B7</f>
        <v>Guest Arrival Flow</v>
      </c>
      <c r="C37" s="23" t="str">
        <f>'Plan Your Visit'!C7</f>
        <v>Guests - Plan Your Visit</v>
      </c>
      <c r="D37" s="25" t="str">
        <f>'Plan Your Visit'!D7</f>
        <v>On confirmed visit card, click 'I have arrived' button.</v>
      </c>
      <c r="E37" s="25" t="str">
        <f>'Plan Your Visit'!E7</f>
        <v>Visits API updates status to 'arrived'; triggers desktop notification on welcome team workstation.</v>
      </c>
      <c r="F37" s="25" t="str">
        <f>'Plan Your Visit'!F7</f>
        <v/>
      </c>
      <c r="G37" s="23" t="str">
        <f>'Plan Your Visit'!G7</f>
        <v>Unknown</v>
      </c>
    </row>
    <row r="38" ht="42.0" customHeight="1">
      <c r="A38" s="15" t="str">
        <f>'Plan Your Visit'!A8</f>
        <v>Expand FAQ accordion to read answer</v>
      </c>
      <c r="B38" s="21" t="str">
        <f>'Plan Your Visit'!B8</f>
        <v>Content Disclosure</v>
      </c>
      <c r="C38" s="16" t="str">
        <f>'Plan Your Visit'!C8</f>
        <v>Guests - Plan Your Visit</v>
      </c>
      <c r="D38" s="21" t="str">
        <f>'Plan Your Visit'!D8</f>
        <v>Click on question 'What should I wear?' in the FAQ section.</v>
      </c>
      <c r="E38" s="21" t="str">
        <f>'Plan Your Visit'!E8</f>
        <v>Accordion item expands revealing helpful answer about casual attire.</v>
      </c>
      <c r="F38" s="21" t="str">
        <f>'Plan Your Visit'!F8</f>
        <v/>
      </c>
      <c r="G38" s="16" t="str">
        <f>'Plan Your Visit'!G8</f>
        <v>Unknown</v>
      </c>
    </row>
    <row r="39" ht="42.0" customHeight="1">
      <c r="A39" s="22" t="str">
        <f>'Plan Your Visit'!A9</f>
        <v>Open Google Maps directions link</v>
      </c>
      <c r="B39" s="25" t="str">
        <f>'Plan Your Visit'!B9</f>
        <v>External Navigation</v>
      </c>
      <c r="C39" s="23" t="str">
        <f>'Plan Your Visit'!C9</f>
        <v>Guests - Plan Your Visit</v>
      </c>
      <c r="D39" s="25" t="str">
        <f>'Plan Your Visit'!D9</f>
        <v>Click 'Get directions' button next to the church address.</v>
      </c>
      <c r="E39" s="25" t="str">
        <f>'Plan Your Visit'!E9</f>
        <v>Opens Google Maps search query with church street address in new browser tab.</v>
      </c>
      <c r="F39" s="25" t="str">
        <f>'Plan Your Visit'!F9</f>
        <v/>
      </c>
      <c r="G39" s="23" t="str">
        <f>'Plan Your Visit'!G9</f>
        <v>Unknown</v>
      </c>
    </row>
    <row r="40" ht="42.0" customHeight="1">
      <c r="A40" s="15" t="str">
        <f>'Plan Your Visit'!A10</f>
        <v>Interactive parking spot selection on mobile Safari touchscreens</v>
      </c>
      <c r="B40" s="21" t="str">
        <f>'Plan Your Visit'!B10</f>
        <v>Touchscreen Mapping</v>
      </c>
      <c r="C40" s="16" t="str">
        <f>'Plan Your Visit'!C10</f>
        <v>Guests - Plan Your Visit</v>
      </c>
      <c r="D40" s="21" t="str">
        <f>'Plan Your Visit'!D10</f>
        <v>Tap parking spot on campus SVG map using an iOS Safari mobile browser.</v>
      </c>
      <c r="E40" s="21" t="str">
        <f>'Plan Your Visit'!E10</f>
        <v>Spot highlights and selection binds to form payload.</v>
      </c>
      <c r="F40" s="21" t="str">
        <f>'Plan Your Visit'!F10</f>
        <v/>
      </c>
      <c r="G40" s="16" t="str">
        <f>'Plan Your Visit'!G10</f>
        <v>Unknown</v>
      </c>
    </row>
    <row r="41" ht="42.0" customHeight="1">
      <c r="A41" s="22" t="str">
        <f>'Plan Your Visit'!A11</f>
        <v>Guest RSVP submission with international phone number format</v>
      </c>
      <c r="B41" s="25" t="str">
        <f>'Plan Your Visit'!B11</f>
        <v>Input Sanitization &amp; Regex</v>
      </c>
      <c r="C41" s="23" t="str">
        <f>'Plan Your Visit'!C11</f>
        <v>Guests - Plan Your Visit</v>
      </c>
      <c r="D41" s="25" t="str">
        <f>'Plan Your Visit'!D11</f>
        <v>Enter international format contact number '+44 20 7946 0958' in RSVP contact field.</v>
      </c>
      <c r="E41" s="25" t="str">
        <f>'Plan Your Visit'!E11</f>
        <v>Validates international phone format and registers visit.</v>
      </c>
      <c r="F41" s="25" t="str">
        <f>'Plan Your Visit'!F11</f>
        <v/>
      </c>
      <c r="G41" s="23" t="str">
        <f>'Plan Your Visit'!G11</f>
        <v>Unknown</v>
      </c>
    </row>
    <row r="42" ht="42.0" customHeight="1">
      <c r="A42" s="15" t="str">
        <f>'Welcome Team'!A2</f>
        <v>Block unauthorized visitor access to welcome queue</v>
      </c>
      <c r="B42" s="21" t="str">
        <f>'Welcome Team'!B2</f>
        <v>Access Control</v>
      </c>
      <c r="C42" s="16" t="str">
        <f>'Welcome Team'!C2</f>
        <v>Guests - Welcome Team</v>
      </c>
      <c r="D42" s="21" t="str">
        <f>'Welcome Team'!D2</f>
        <v>Navigate to '#/guests/welcome' as an unauthenticated public visitor.</v>
      </c>
      <c r="E42" s="21" t="str">
        <f>'Welcome Team'!E2</f>
        <v>Welcome queue is hidden; displays 'StaffOnly' notice prompting staff sign-in.</v>
      </c>
      <c r="F42" s="21" t="str">
        <f>'Welcome Team'!F2</f>
        <v/>
      </c>
      <c r="G42" s="16" t="str">
        <f>'Welcome Team'!G2</f>
        <v>Unknown</v>
      </c>
    </row>
    <row r="43" ht="42.0" customHeight="1">
      <c r="A43" s="22" t="str">
        <f>'Welcome Team'!A3</f>
        <v>Display arrived guests queue for signed-in staff</v>
      </c>
      <c r="B43" s="25" t="str">
        <f>'Welcome Team'!B3</f>
        <v>Queue Visibility</v>
      </c>
      <c r="C43" s="23" t="str">
        <f>'Welcome Team'!C3</f>
        <v>Guests - Welcome Team</v>
      </c>
      <c r="D43" s="25" t="str">
        <f>'Welcome Team'!D3</f>
        <v>Sign in as staff and open '#/guests/welcome'.</v>
      </c>
      <c r="E43" s="25" t="str">
        <f>'Welcome Team'!E3</f>
        <v>Displays WelcomeQueue component showing waiting list and planned guests list.</v>
      </c>
      <c r="F43" s="25" t="str">
        <f>'Welcome Team'!F3</f>
        <v/>
      </c>
      <c r="G43" s="23" t="str">
        <f>'Welcome Team'!G3</f>
        <v>Unknown</v>
      </c>
    </row>
    <row r="44" ht="42.0" customHeight="1">
      <c r="A44" s="15" t="str">
        <f>'Welcome Team'!A4</f>
        <v>Persist host staff name in local storage</v>
      </c>
      <c r="B44" s="21" t="str">
        <f>'Welcome Team'!B4</f>
        <v>Host Identity</v>
      </c>
      <c r="C44" s="16" t="str">
        <f>'Welcome Team'!C4</f>
        <v>Guests - Welcome Team</v>
      </c>
      <c r="D44" s="21" t="str">
        <f>'Welcome Team'!D4</f>
        <v>Type host name 'Brother David' into 'Your name' field and reload page.</v>
      </c>
      <c r="E44" s="21" t="str">
        <f>'Welcome Team'!E4</f>
        <v>Host name 'Brother David' is saved to localStorage and restored on reload.</v>
      </c>
      <c r="F44" s="21" t="str">
        <f>'Welcome Team'!F4</f>
        <v/>
      </c>
      <c r="G44" s="16" t="str">
        <f>'Welcome Team'!G4</f>
        <v>Unknown</v>
      </c>
    </row>
    <row r="45" ht="42.0" customHeight="1">
      <c r="A45" s="22" t="str">
        <f>'Welcome Team'!A5</f>
        <v>Claim an arrived guest from waiting queue</v>
      </c>
      <c r="B45" s="25" t="str">
        <f>'Welcome Team'!B5</f>
        <v>Host Assignment</v>
      </c>
      <c r="C45" s="23" t="str">
        <f>'Welcome Team'!C5</f>
        <v>Guests - Welcome Team</v>
      </c>
      <c r="D45" s="25" t="str">
        <f>'Welcome Team'!D5</f>
        <v>Click 'I’ll meet them' button on a waiting guest card.</v>
      </c>
      <c r="E45" s="25" t="str">
        <f>'Welcome Team'!E5</f>
        <v>Calls POST /visits/:id/claim with hostName; marks guest as claimed by Brother David.</v>
      </c>
      <c r="F45" s="25" t="str">
        <f>'Welcome Team'!F5</f>
        <v/>
      </c>
      <c r="G45" s="23" t="str">
        <f>'Welcome Team'!G5</f>
        <v>Unknown</v>
      </c>
    </row>
    <row r="46" ht="42.0" customHeight="1">
      <c r="A46" s="15" t="str">
        <f>'Welcome Team'!A6</f>
        <v>Dismiss welcomed guest from queue</v>
      </c>
      <c r="B46" s="21" t="str">
        <f>'Welcome Team'!B6</f>
        <v>Status Lifecycle</v>
      </c>
      <c r="C46" s="16" t="str">
        <f>'Welcome Team'!C6</f>
        <v>Guests - Welcome Team</v>
      </c>
      <c r="D46" s="21" t="str">
        <f>'Welcome Team'!D6</f>
        <v>Click 'Welcomed' checkmark button on a claimed guest card.</v>
      </c>
      <c r="E46" s="21" t="str">
        <f>'Welcome Team'!E6</f>
        <v>Calls PATCH /visits/:id with status 'welcomed'; removes guest from active waiting list.</v>
      </c>
      <c r="F46" s="21" t="str">
        <f>'Welcome Team'!F6</f>
        <v/>
      </c>
      <c r="G46" s="16" t="str">
        <f>'Welcome Team'!G6</f>
        <v>Unknown</v>
      </c>
    </row>
    <row r="47" ht="42.0" customHeight="1">
      <c r="A47" s="22" t="str">
        <f>'Welcome Team'!A7</f>
        <v>Display accurate party size and host preference tags</v>
      </c>
      <c r="B47" s="25" t="str">
        <f>'Welcome Team'!B7</f>
        <v>Metadata Rendering</v>
      </c>
      <c r="C47" s="23" t="str">
        <f>'Welcome Team'!C7</f>
        <v>Guests - Welcome Team</v>
      </c>
      <c r="D47" s="25" t="str">
        <f>'Welcome Team'!D7</f>
        <v>Inspect waiting guest card for party of 4 who prefers not to be met.</v>
      </c>
      <c r="E47" s="25" t="str">
        <f>'Welcome Team'!E7</f>
        <v>Card displays 'Party of 4' badge and muted notice 'Prefers not to be met at door'.</v>
      </c>
      <c r="F47" s="25" t="str">
        <f>'Welcome Team'!F7</f>
        <v/>
      </c>
      <c r="G47" s="23" t="str">
        <f>'Welcome Team'!G7</f>
        <v>Unknown</v>
      </c>
    </row>
    <row r="48" ht="42.0" customHeight="1">
      <c r="A48" s="15" t="str">
        <f>'Welcome Team'!A8</f>
        <v>Display elapsed waiting time counter</v>
      </c>
      <c r="B48" s="21" t="str">
        <f>'Welcome Team'!B8</f>
        <v>Queue Metrics</v>
      </c>
      <c r="C48" s="16" t="str">
        <f>'Welcome Team'!C8</f>
        <v>Guests - Welcome Team</v>
      </c>
      <c r="D48" s="21" t="str">
        <f>'Welcome Team'!D8</f>
        <v>Observe waiting guest card for guest who arrived 6 minutes ago.</v>
      </c>
      <c r="E48" s="21" t="str">
        <f>'Welcome Team'!E8</f>
        <v>Displays elapsed waiting counter 'Arrived 6m ago' updating periodically.</v>
      </c>
      <c r="F48" s="21" t="str">
        <f>'Welcome Team'!F8</f>
        <v/>
      </c>
      <c r="G48" s="16" t="str">
        <f>'Welcome Team'!G8</f>
        <v>Unknown</v>
      </c>
    </row>
    <row r="49" ht="42.0" customHeight="1">
      <c r="A49" s="22" t="str">
        <f>'Welcome Team'!A9</f>
        <v>Real-time queue polling updates without refresh</v>
      </c>
      <c r="B49" s="25" t="str">
        <f>'Welcome Team'!B9</f>
        <v>Real-time Synchronization</v>
      </c>
      <c r="C49" s="23" t="str">
        <f>'Welcome Team'!C9</f>
        <v>Guests - Welcome Team</v>
      </c>
      <c r="D49" s="25" t="str">
        <f>'Welcome Team'!D9</f>
        <v>Keep Welcome Team screen open while a new guest checks in on another device.</v>
      </c>
      <c r="E49" s="25" t="str">
        <f>'Welcome Team'!E9</f>
        <v>Background 5-second interval poll detects new arrival and adds card to queue with arrival chime/alert.</v>
      </c>
      <c r="F49" s="25" t="str">
        <f>'Welcome Team'!F9</f>
        <v/>
      </c>
      <c r="G49" s="23" t="str">
        <f>'Welcome Team'!G9</f>
        <v>Unknown</v>
      </c>
    </row>
    <row r="50" ht="42.0" customHeight="1">
      <c r="A50" s="15" t="str">
        <f>'Welcome Team'!A10</f>
        <v>Browser arrival push notifications on mobile browsers (iOS / Android)</v>
      </c>
      <c r="B50" s="21" t="str">
        <f>'Welcome Team'!B10</f>
        <v>Web Push Notifications</v>
      </c>
      <c r="C50" s="16" t="str">
        <f>'Welcome Team'!C10</f>
        <v>Guests - Welcome Team</v>
      </c>
      <c r="D50" s="21" t="str">
        <f>'Welcome Team'!D10</f>
        <v>Tap 'Enable arrival notifications' on iOS Safari or mobile web browser.</v>
      </c>
      <c r="E50" s="21" t="str">
        <f>'Welcome Team'!E10</f>
        <v>Native browser arrival push notifications fire when guest arrives.</v>
      </c>
      <c r="F50" s="21" t="str">
        <f>'Welcome Team'!F10</f>
        <v/>
      </c>
      <c r="G50" s="16" t="str">
        <f>'Welcome Team'!G10</f>
        <v>Unknown</v>
      </c>
    </row>
    <row r="51" ht="42.0" customHeight="1">
      <c r="A51" s="22" t="str">
        <f>'Welcome Team'!A11</f>
        <v>Concurrent guest claim race condition between two hosts</v>
      </c>
      <c r="B51" s="25" t="str">
        <f>'Welcome Team'!B11</f>
        <v>Concurrency &amp; Locking</v>
      </c>
      <c r="C51" s="23" t="str">
        <f>'Welcome Team'!C11</f>
        <v>Guests - Welcome Team</v>
      </c>
      <c r="D51" s="25" t="str">
        <f>'Welcome Team'!D11</f>
        <v>Two welcome hosts click 'I’ll meet them' on the same arrived guest card within 1 second.</v>
      </c>
      <c r="E51" s="25" t="str">
        <f>'Welcome Team'!E11</f>
        <v>Optimistic concurrency lock notifies second host that guest was already claimed by another team member.</v>
      </c>
      <c r="F51" s="25" t="str">
        <f>'Welcome Team'!F11</f>
        <v/>
      </c>
      <c r="G51" s="23" t="str">
        <f>'Welcome Team'!G11</f>
        <v>Unknown</v>
      </c>
    </row>
    <row r="52" ht="42.0" customHeight="1">
      <c r="A52" s="15" t="str">
        <f>Serve!A2</f>
        <v>Filter serving teams by keyword search</v>
      </c>
      <c r="B52" s="21" t="str">
        <f>Serve!B2</f>
        <v>Search &amp; Filtering</v>
      </c>
      <c r="C52" s="16" t="str">
        <f>Serve!C2</f>
        <v>Serve</v>
      </c>
      <c r="D52" s="21" t="str">
        <f>Serve!D2</f>
        <v>Type 'worship' into ministry search input field.</v>
      </c>
      <c r="E52" s="21" t="str">
        <f>Serve!E2</f>
        <v>List filters instantly to ministries containing 'worship' in name, description, or category.</v>
      </c>
      <c r="F52" s="21" t="str">
        <f>Serve!F2</f>
        <v/>
      </c>
      <c r="G52" s="16" t="str">
        <f>Serve!G2</f>
        <v>Unknown</v>
      </c>
    </row>
    <row r="53" ht="42.0" customHeight="1">
      <c r="A53" s="22" t="str">
        <f>Serve!A3</f>
        <v>Toggle 'Urgent needs only' filter checkbox</v>
      </c>
      <c r="B53" s="25" t="str">
        <f>Serve!B3</f>
        <v>Urgency Triage</v>
      </c>
      <c r="C53" s="23" t="str">
        <f>Serve!C3</f>
        <v>Serve</v>
      </c>
      <c r="D53" s="25" t="str">
        <f>Serve!D3</f>
        <v>Click 'Urgent needs only' filter button.</v>
      </c>
      <c r="E53" s="25" t="str">
        <f>Serve!E3</f>
        <v>Displays only ministries where unfilled volunteer slots are 35% or higher, with urgent badge.</v>
      </c>
      <c r="F53" s="25" t="str">
        <f>Serve!F3</f>
        <v/>
      </c>
      <c r="G53" s="23" t="str">
        <f>Serve!G3</f>
        <v>Unknown</v>
      </c>
    </row>
    <row r="54" ht="42.0" customHeight="1">
      <c r="A54" s="15" t="str">
        <f>Serve!A4</f>
        <v>Expand ministry card to inspect team leader and roles</v>
      </c>
      <c r="B54" s="21" t="str">
        <f>Serve!B4</f>
        <v>Detail Disclosure</v>
      </c>
      <c r="C54" s="16" t="str">
        <f>Serve!C4</f>
        <v>Serve</v>
      </c>
      <c r="D54" s="21" t="str">
        <f>Serve!D4</f>
        <v>Click on 'Kids Ministry' card in the serving grid.</v>
      </c>
      <c r="E54" s="21" t="str">
        <f>Serve!E4</f>
        <v>Detailed drawer opens showing team description, time commitments, and ministry leader contact.</v>
      </c>
      <c r="F54" s="21" t="str">
        <f>Serve!F4</f>
        <v/>
      </c>
      <c r="G54" s="16" t="str">
        <f>Serve!G4</f>
        <v>Unknown</v>
      </c>
    </row>
    <row r="55" ht="42.0" customHeight="1">
      <c r="A55" s="22" t="str">
        <f>Serve!A5</f>
        <v>Bookmark recommended ministry to saved shortlist</v>
      </c>
      <c r="B55" s="25" t="str">
        <f>Serve!B5</f>
        <v>Shortlist Management</v>
      </c>
      <c r="C55" s="23" t="str">
        <f>Serve!C5</f>
        <v>Serve</v>
      </c>
      <c r="D55" s="25" t="str">
        <f>Serve!D5</f>
        <v>Click 'Save to shortlist' bookmark icon on 'Worship Collective' recommendation card.</v>
      </c>
      <c r="E55" s="25" t="str">
        <f>Serve!E5</f>
        <v>Ministry is added to local saved list; navigation badge count increments by 1.</v>
      </c>
      <c r="F55" s="25" t="str">
        <f>Serve!F5</f>
        <v/>
      </c>
      <c r="G55" s="23" t="str">
        <f>Serve!G5</f>
        <v>Unknown</v>
      </c>
    </row>
    <row r="56" ht="42.0" customHeight="1">
      <c r="A56" s="15" t="str">
        <f>Serve!A6</f>
        <v>View saved ministries tab</v>
      </c>
      <c r="B56" s="21" t="str">
        <f>Serve!B6</f>
        <v>Shortlist Review</v>
      </c>
      <c r="C56" s="16" t="str">
        <f>Serve!C6</f>
        <v>Serve</v>
      </c>
      <c r="D56" s="21" t="str">
        <f>Serve!D6</f>
        <v>Click 'Saved' sub-navigation tab ('#/serve/saved').</v>
      </c>
      <c r="E56" s="21" t="str">
        <f>Serve!E6</f>
        <v>Displays all bookmarked serving opportunities with option to submit interest request.</v>
      </c>
      <c r="F56" s="21" t="str">
        <f>Serve!F6</f>
        <v/>
      </c>
      <c r="G56" s="16" t="str">
        <f>Serve!G6</f>
        <v>Unknown</v>
      </c>
    </row>
    <row r="57" ht="42.0" customHeight="1">
      <c r="A57" s="22" t="str">
        <f>Serve!A7</f>
        <v>Staff view of filed volunteer connection requests</v>
      </c>
      <c r="B57" s="25" t="str">
        <f>Serve!B7</f>
        <v>Staff Queue Management</v>
      </c>
      <c r="C57" s="23" t="str">
        <f>Serve!C7</f>
        <v>Serve</v>
      </c>
      <c r="D57" s="25" t="str">
        <f>Serve!D7</f>
        <v>Sign in as staff and open '#/serve/saved' requests queue.</v>
      </c>
      <c r="E57" s="25" t="str">
        <f>Serve!E7</f>
        <v>Staff sees full list of member-submitted volunteer inquiries and chat connection requests.</v>
      </c>
      <c r="F57" s="25" t="str">
        <f>Serve!F7</f>
        <v/>
      </c>
      <c r="G57" s="23" t="str">
        <f>Serve!G7</f>
        <v>Unknown</v>
      </c>
    </row>
    <row r="58" ht="42.0" customHeight="1">
      <c r="A58" s="15" t="str">
        <f>Serve!A8</f>
        <v>Staff approves volunteer connection request</v>
      </c>
      <c r="B58" s="21" t="str">
        <f>Serve!B8</f>
        <v>Workflow State Change</v>
      </c>
      <c r="C58" s="16" t="str">
        <f>Serve!C8</f>
        <v>Serve</v>
      </c>
      <c r="D58" s="21" t="str">
        <f>Serve!D8</f>
        <v>Click 'Connect' checkmark button on a pending volunteer request.</v>
      </c>
      <c r="E58" s="21" t="str">
        <f>Serve!E8</f>
        <v>Calls PATCH /requests/:id with status 'connected'; moves request to active connections list.</v>
      </c>
      <c r="F58" s="21" t="str">
        <f>Serve!F8</f>
        <v/>
      </c>
      <c r="G58" s="16" t="str">
        <f>Serve!G8</f>
        <v>Unknown</v>
      </c>
    </row>
    <row r="59" ht="42.0" customHeight="1">
      <c r="A59" s="22" t="str">
        <f>Serve!A9</f>
        <v>Staff archives or deletes processed request</v>
      </c>
      <c r="B59" s="25" t="str">
        <f>Serve!B9</f>
        <v>Queue Cleanup</v>
      </c>
      <c r="C59" s="23" t="str">
        <f>Serve!C9</f>
        <v>Serve</v>
      </c>
      <c r="D59" s="25" t="str">
        <f>Serve!D9</f>
        <v>Click 'Remove' trash icon on an archived volunteer request.</v>
      </c>
      <c r="E59" s="25" t="str">
        <f>Serve!E9</f>
        <v>Calls DELETE /requests/:id; removes request card from staff queue view.</v>
      </c>
      <c r="F59" s="25" t="str">
        <f>Serve!F9</f>
        <v/>
      </c>
      <c r="G59" s="23" t="str">
        <f>Serve!G9</f>
        <v>Unknown</v>
      </c>
    </row>
    <row r="60" ht="42.0" customHeight="1">
      <c r="A60" s="15" t="str">
        <f>Serve!A10</f>
        <v>AI volunteer matching with single-word generic input</v>
      </c>
      <c r="B60" s="21" t="str">
        <f>Serve!B10</f>
        <v>AI Recommendation Bounds</v>
      </c>
      <c r="C60" s="16" t="str">
        <f>Serve!C10</f>
        <v>Serve</v>
      </c>
      <c r="D60" s="21" t="str">
        <f>Serve!D10</f>
        <v>On volunteer finder, enter single word 'anything' into gifts input and click 'Find matching places'.</v>
      </c>
      <c r="E60" s="21" t="str">
        <f>Serve!E10</f>
        <v>Prompts user to specify gifts/skills or provides general serving opportunities.</v>
      </c>
      <c r="F60" s="21" t="str">
        <f>Serve!F10</f>
        <v/>
      </c>
      <c r="G60" s="16" t="str">
        <f>Serve!G10</f>
        <v>Unknown</v>
      </c>
    </row>
    <row r="61" ht="42.0" customHeight="1">
      <c r="A61" s="22" t="str">
        <f>Serve!A11</f>
        <v>Real-time staff queue update across multiple browser sessions</v>
      </c>
      <c r="B61" s="25" t="str">
        <f>Serve!B11</f>
        <v>Cross-client Synchronization</v>
      </c>
      <c r="C61" s="23" t="str">
        <f>Serve!C11</f>
        <v>Serve</v>
      </c>
      <c r="D61" s="25" t="str">
        <f>Serve!D11</f>
        <v>Visitor files a volunteer request in chat; observe staff queue on a separate un-refreshed staff browser.</v>
      </c>
      <c r="E61" s="25" t="str">
        <f>Serve!E11</f>
        <v>Staff queue updates automatically via WebSocket or background push without manual reload.</v>
      </c>
      <c r="F61" s="25" t="str">
        <f>Serve!F11</f>
        <v/>
      </c>
      <c r="G61" s="23" t="str">
        <f>Serve!G11</f>
        <v>Unknown</v>
      </c>
    </row>
    <row r="62" ht="42.0" customHeight="1">
      <c r="A62" s="15" t="str">
        <f>'Sermon Notes'!A2</f>
        <v>Browse sermon catalog and open message</v>
      </c>
      <c r="B62" s="21" t="str">
        <f>'Sermon Notes'!B2</f>
        <v>Content Discovery</v>
      </c>
      <c r="C62" s="16" t="str">
        <f>'Sermon Notes'!C2</f>
        <v>Sermon Notes</v>
      </c>
      <c r="D62" s="21" t="str">
        <f>'Sermon Notes'!D2</f>
        <v>Click on sermon card 'The Heart of the Father - Luke 15' in sermon list.</v>
      </c>
      <c r="E62" s="21" t="str">
        <f>'Sermon Notes'!E2</f>
        <v>Navigates to '#/notes/:id'; loads full sermon transcript, media player, and AI ask panel.</v>
      </c>
      <c r="F62" s="21" t="str">
        <f>'Sermon Notes'!F2</f>
        <v/>
      </c>
      <c r="G62" s="16" t="str">
        <f>'Sermon Notes'!G2</f>
        <v>Unknown</v>
      </c>
    </row>
    <row r="63" ht="42.0" customHeight="1">
      <c r="A63" s="22" t="str">
        <f>'Sermon Notes'!A3</f>
        <v>Ask AI question about sermon content</v>
      </c>
      <c r="B63" s="25" t="str">
        <f>'Sermon Notes'!B3</f>
        <v>AI Sermon Q&amp;A</v>
      </c>
      <c r="C63" s="23" t="str">
        <f>'Sermon Notes'!C3</f>
        <v>Sermon Notes</v>
      </c>
      <c r="D63" s="25" t="str">
        <f>'Sermon Notes'!D3</f>
        <v>In sermon ask box, type 'What did the pastor say about the older brother?' and click Ask.</v>
      </c>
      <c r="E63" s="25" t="str">
        <f>'Sermon Notes'!E3</f>
        <v>AI queries sermon embeddings, returns answer summarizing pastor's points, and quotes verbatim sentences with timestamps.</v>
      </c>
      <c r="F63" s="25" t="str">
        <f>'Sermon Notes'!F3</f>
        <v/>
      </c>
      <c r="G63" s="23" t="str">
        <f>'Sermon Notes'!G3</f>
        <v>Unknown</v>
      </c>
    </row>
    <row r="64" ht="42.0" customHeight="1">
      <c r="A64" s="15" t="str">
        <f>'Sermon Notes'!A4</f>
        <v>Click transcript timestamp to seek media player</v>
      </c>
      <c r="B64" s="21" t="str">
        <f>'Sermon Notes'!B4</f>
        <v>Media Synchronization</v>
      </c>
      <c r="C64" s="16" t="str">
        <f>'Sermon Notes'!C4</f>
        <v>Sermon Notes</v>
      </c>
      <c r="D64" s="21" t="str">
        <f>'Sermon Notes'!D4</f>
        <v>Click timestamp link '[14:32]' inside sermon transcript text.</v>
      </c>
      <c r="E64" s="21" t="str">
        <f>'Sermon Notes'!E4</f>
        <v>Audio/video player seeks immediately to 14 minutes 32 seconds and starts playback.</v>
      </c>
      <c r="F64" s="21" t="str">
        <f>'Sermon Notes'!F4</f>
        <v/>
      </c>
      <c r="G64" s="16" t="str">
        <f>'Sermon Notes'!G4</f>
        <v>Unknown</v>
      </c>
    </row>
    <row r="65" ht="42.0" customHeight="1">
      <c r="A65" s="22" t="str">
        <f>'Sermon Notes'!A5</f>
        <v>Toggle 'Bible quotes' highlight filter</v>
      </c>
      <c r="B65" s="25" t="str">
        <f>'Sermon Notes'!B5</f>
        <v>Transcript Annotation</v>
      </c>
      <c r="C65" s="23" t="str">
        <f>'Sermon Notes'!C5</f>
        <v>Sermon Notes</v>
      </c>
      <c r="D65" s="25" t="str">
        <f>'Sermon Notes'!D5</f>
        <v>Click 'Bible quotes' button in highlight categories toggle bar.</v>
      </c>
      <c r="E65" s="25" t="str">
        <f>'Sermon Notes'!E5</f>
        <v>All direct Scripture quotations in transcript highlight with gold background styling.</v>
      </c>
      <c r="F65" s="25" t="str">
        <f>'Sermon Notes'!F5</f>
        <v/>
      </c>
      <c r="G65" s="23" t="str">
        <f>'Sermon Notes'!G5</f>
        <v>Unknown</v>
      </c>
    </row>
    <row r="66" ht="42.0" customHeight="1">
      <c r="A66" s="15" t="str">
        <f>'Sermon Notes'!A6</f>
        <v>Tap scripture highlight to open YouVersion verse card</v>
      </c>
      <c r="B66" s="21" t="str">
        <f>'Sermon Notes'!B6</f>
        <v>Scripture Integration</v>
      </c>
      <c r="C66" s="16" t="str">
        <f>'Sermon Notes'!C6</f>
        <v>Sermon Notes</v>
      </c>
      <c r="D66" s="21" t="str">
        <f>'Sermon Notes'!D6</f>
        <v>Click highlighted Bible reference 'Romans 8:28' in sermon transcript.</v>
      </c>
      <c r="E66" s="21" t="str">
        <f>'Sermon Notes'!E6</f>
        <v>VerseCard popover opens displaying full text of Romans 8:28 fetched from Bible API.</v>
      </c>
      <c r="F66" s="21" t="str">
        <f>'Sermon Notes'!F6</f>
        <v/>
      </c>
      <c r="G66" s="16" t="str">
        <f>'Sermon Notes'!G6</f>
        <v>Unknown</v>
      </c>
    </row>
    <row r="67" ht="42.0" customHeight="1">
      <c r="A67" s="22" t="str">
        <f>'Sermon Notes'!A7</f>
        <v>Switch preferred Bible translation in reader preferences</v>
      </c>
      <c r="B67" s="25" t="str">
        <f>'Sermon Notes'!B7</f>
        <v>User Preferences</v>
      </c>
      <c r="C67" s="23" t="str">
        <f>'Sermon Notes'!C7</f>
        <v>Sermon Notes</v>
      </c>
      <c r="D67" s="25" t="str">
        <f>'Sermon Notes'!D7</f>
        <v>Open reader settings and change translation from NIV to ESV.</v>
      </c>
      <c r="E67" s="25" t="str">
        <f>'Sermon Notes'!E7</f>
        <v>Passage references reload with English Standard Version text; preference saved to localStorage.</v>
      </c>
      <c r="F67" s="25" t="str">
        <f>'Sermon Notes'!F7</f>
        <v/>
      </c>
      <c r="G67" s="23" t="str">
        <f>'Sermon Notes'!G7</f>
        <v>Unknown</v>
      </c>
    </row>
    <row r="68" ht="42.0" customHeight="1">
      <c r="A68" s="15" t="str">
        <f>'Sermon Notes'!A8</f>
        <v>Adjust transcript font size for accessibility</v>
      </c>
      <c r="B68" s="21" t="str">
        <f>'Sermon Notes'!B8</f>
        <v>Accessibility &amp; Display</v>
      </c>
      <c r="C68" s="16" t="str">
        <f>'Sermon Notes'!C8</f>
        <v>Sermon Notes</v>
      </c>
      <c r="D68" s="21" t="str">
        <f>'Sermon Notes'!D8</f>
        <v>Click font size '+' button in reader toolbar.</v>
      </c>
      <c r="E68" s="21" t="str">
        <f>'Sermon Notes'!E8</f>
        <v>Transcript body text size increases from 16px to 19px for enhanced readability.</v>
      </c>
      <c r="F68" s="21" t="str">
        <f>'Sermon Notes'!F8</f>
        <v/>
      </c>
      <c r="G68" s="16" t="str">
        <f>'Sermon Notes'!G8</f>
        <v>Unknown</v>
      </c>
    </row>
    <row r="69" ht="42.0" customHeight="1">
      <c r="A69" s="22" t="str">
        <f>'Sermon Notes'!A9</f>
        <v>Staff creates new sermon note via YouTube URL</v>
      </c>
      <c r="B69" s="25" t="str">
        <f>'Sermon Notes'!B9</f>
        <v>Media Ingestion - YouTube</v>
      </c>
      <c r="C69" s="23" t="str">
        <f>'Sermon Notes'!C9</f>
        <v>Sermon Notes</v>
      </c>
      <c r="D69" s="25" t="str">
        <f>'Sermon Notes'!D9</f>
        <v>Sign in as staff, click '+ New note', enter valid YouTube link, title 'Sunday Service', and click 'Create note'.</v>
      </c>
      <c r="E69" s="25" t="str">
        <f>'Sermon Notes'!E9</f>
        <v>Backend queues YouTube audio download and Whisper transcription job; sermon status becomes 'queued'.</v>
      </c>
      <c r="F69" s="25" t="str">
        <f>'Sermon Notes'!F9</f>
        <v/>
      </c>
      <c r="G69" s="23" t="str">
        <f>'Sermon Notes'!G9</f>
        <v>Unknown</v>
      </c>
    </row>
    <row r="70" ht="42.0" customHeight="1">
      <c r="A70" s="15" t="str">
        <f>'Sermon Notes'!A10</f>
        <v>Process sermon video with bot-protected YouTube URL</v>
      </c>
      <c r="B70" s="21" t="str">
        <f>'Sermon Notes'!B10</f>
        <v>Media Ingestion - YouTube</v>
      </c>
      <c r="C70" s="16" t="str">
        <f>'Sermon Notes'!C10</f>
        <v>Sermon Notes</v>
      </c>
      <c r="D70" s="21" t="str">
        <f>'Sermon Notes'!D10</f>
        <v>Submit a YouTube sermon URL that requires bot challenge or sign-in verification.</v>
      </c>
      <c r="E70" s="21" t="str">
        <f>'Sermon Notes'!E10</f>
        <v>System bypasses bot challenge and downloads audio for transcription.</v>
      </c>
      <c r="F70" s="21" t="str">
        <f>'Sermon Notes'!F10</f>
        <v/>
      </c>
      <c r="G70" s="16" t="str">
        <f>'Sermon Notes'!G10</f>
        <v>Unknown</v>
      </c>
    </row>
    <row r="71" ht="42.0" customHeight="1">
      <c r="A71" s="22" t="str">
        <f>'Sermon Notes'!A11</f>
        <v>Upload video file exceeding 95 MB limit</v>
      </c>
      <c r="B71" s="25" t="str">
        <f>'Sermon Notes'!B11</f>
        <v>File Upload Validation</v>
      </c>
      <c r="C71" s="23" t="str">
        <f>'Sermon Notes'!C11</f>
        <v>Sermon Notes</v>
      </c>
      <c r="D71" s="25" t="str">
        <f>'Sermon Notes'!D11</f>
        <v>Attach 120 MB MP4 sermon recording and click 'Create note'.</v>
      </c>
      <c r="E71" s="25" t="str">
        <f>'Sermon Notes'!E11</f>
        <v>Client-side file validation prevents upload and shows clear file size guidance.</v>
      </c>
      <c r="F71" s="25" t="str">
        <f>'Sermon Notes'!F11</f>
        <v/>
      </c>
      <c r="G71" s="23" t="str">
        <f>'Sermon Notes'!G11</f>
        <v>Unknown</v>
      </c>
    </row>
    <row r="72" ht="42.0" customHeight="1">
      <c r="A72" s="15" t="str">
        <f>Calendar!A2</f>
        <v>Toggle between monthly calendar grid and upcoming list view</v>
      </c>
      <c r="B72" s="21" t="str">
        <f>Calendar!B2</f>
        <v>View Mode Switching</v>
      </c>
      <c r="C72" s="16" t="str">
        <f>Calendar!C2</f>
        <v>Calendar</v>
      </c>
      <c r="D72" s="21" t="str">
        <f>Calendar!D2</f>
        <v>Click 'List view' button in the calendar toolbar.</v>
      </c>
      <c r="E72" s="21" t="str">
        <f>Calendar!E2</f>
        <v>Display changes from 7-day monthly grid to chronological list view grouped by date.</v>
      </c>
      <c r="F72" s="21" t="str">
        <f>Calendar!F2</f>
        <v/>
      </c>
      <c r="G72" s="16" t="str">
        <f>Calendar!G2</f>
        <v>Unknown</v>
      </c>
    </row>
    <row r="73" ht="42.0" customHeight="1">
      <c r="A73" s="22" t="str">
        <f>Calendar!A3</f>
        <v>Filter calendar events by category</v>
      </c>
      <c r="B73" s="25" t="str">
        <f>Calendar!B3</f>
        <v>Category Filtering</v>
      </c>
      <c r="C73" s="23" t="str">
        <f>Calendar!C3</f>
        <v>Calendar</v>
      </c>
      <c r="D73" s="25" t="str">
        <f>Calendar!D3</f>
        <v>Click category filter button 'Youth &amp; Kids'.</v>
      </c>
      <c r="E73" s="25" t="str">
        <f>Calendar!E3</f>
        <v>Calendar highlights/shows only events tagged with 'Youth &amp; Kids' category.</v>
      </c>
      <c r="F73" s="25" t="str">
        <f>Calendar!F3</f>
        <v/>
      </c>
      <c r="G73" s="23" t="str">
        <f>Calendar!G3</f>
        <v>Unknown</v>
      </c>
    </row>
    <row r="74" ht="42.0" customHeight="1">
      <c r="A74" s="15" t="str">
        <f>Calendar!A4</f>
        <v>Search calendar gatherings by keyword</v>
      </c>
      <c r="B74" s="21" t="str">
        <f>Calendar!B4</f>
        <v>Keyword Search</v>
      </c>
      <c r="C74" s="16" t="str">
        <f>Calendar!C4</f>
        <v>Calendar</v>
      </c>
      <c r="D74" s="21" t="str">
        <f>Calendar!D4</f>
        <v>Type 'prayer' into calendar search bar.</v>
      </c>
      <c r="E74" s="21" t="str">
        <f>Calendar!E4</f>
        <v>Filters calendar display to events containing 'prayer' in title or description.</v>
      </c>
      <c r="F74" s="21" t="str">
        <f>Calendar!F4</f>
        <v/>
      </c>
      <c r="G74" s="16" t="str">
        <f>Calendar!G4</f>
        <v>Unknown</v>
      </c>
    </row>
    <row r="75" ht="42.0" customHeight="1">
      <c r="A75" s="22" t="str">
        <f>Calendar!A5</f>
        <v>Navigate across calendar months</v>
      </c>
      <c r="B75" s="25" t="str">
        <f>Calendar!B5</f>
        <v>Date Navigation</v>
      </c>
      <c r="C75" s="23" t="str">
        <f>Calendar!C5</f>
        <v>Calendar</v>
      </c>
      <c r="D75" s="25" t="str">
        <f>Calendar!D5</f>
        <v>Click 'Next month' arrow button in calendar header.</v>
      </c>
      <c r="E75" s="25" t="str">
        <f>Calendar!E5</f>
        <v>Calendar advances to next month (e.g. November 2026); fetches and displays that month's events.</v>
      </c>
      <c r="F75" s="25" t="str">
        <f>Calendar!F5</f>
        <v/>
      </c>
      <c r="G75" s="23" t="str">
        <f>Calendar!G5</f>
        <v>Unknown</v>
      </c>
    </row>
    <row r="76" ht="42.0" customHeight="1">
      <c r="A76" s="15" t="str">
        <f>Calendar!A6</f>
        <v>Inspect event detail modal by clicking calendar cell</v>
      </c>
      <c r="B76" s="21" t="str">
        <f>Calendar!B6</f>
        <v>Event Inspection</v>
      </c>
      <c r="C76" s="16" t="str">
        <f>Calendar!C6</f>
        <v>Calendar</v>
      </c>
      <c r="D76" s="21" t="str">
        <f>Calendar!D6</f>
        <v>Click on 'Community Outreach Day' event entry in the grid.</v>
      </c>
      <c r="E76" s="21" t="str">
        <f>Calendar!E6</f>
        <v>Event detail modal opens showing date, time, location, host ministry, and full event description.</v>
      </c>
      <c r="F76" s="21" t="str">
        <f>Calendar!F6</f>
        <v/>
      </c>
      <c r="G76" s="16" t="str">
        <f>Calendar!G6</f>
        <v>Unknown</v>
      </c>
    </row>
    <row r="77" ht="42.0" customHeight="1">
      <c r="A77" s="22" t="str">
        <f>Calendar!A7</f>
        <v>Staff opens '+ Add event' modal and creates new event</v>
      </c>
      <c r="B77" s="25" t="str">
        <f>Calendar!B7</f>
        <v>Event Creation</v>
      </c>
      <c r="C77" s="23" t="str">
        <f>Calendar!C7</f>
        <v>Calendar</v>
      </c>
      <c r="D77" s="25" t="str">
        <f>Calendar!D7</f>
        <v>Sign in as staff, click '+ Add event', fill in title 'Church Picnic', date, time, location, and click Save.</v>
      </c>
      <c r="E77" s="25" t="str">
        <f>Calendar!E7</f>
        <v>Calls POST /events with event JSON; returns created event; reloads calendar with new item visible.</v>
      </c>
      <c r="F77" s="25" t="str">
        <f>Calendar!F7</f>
        <v/>
      </c>
      <c r="G77" s="23" t="str">
        <f>Calendar!G7</f>
        <v>Unknown</v>
      </c>
    </row>
    <row r="78" ht="42.0" customHeight="1">
      <c r="A78" s="15" t="str">
        <f>Calendar!A8</f>
        <v>Validate required fields in event creation form</v>
      </c>
      <c r="B78" s="21" t="str">
        <f>Calendar!B8</f>
        <v>Form Validation</v>
      </c>
      <c r="C78" s="16" t="str">
        <f>Calendar!C8</f>
        <v>Calendar</v>
      </c>
      <c r="D78" s="21" t="str">
        <f>Calendar!D8</f>
        <v>In '+ Add event' modal, leave title empty and click Save.</v>
      </c>
      <c r="E78" s="21" t="str">
        <f>Calendar!E8</f>
        <v>Form validation halts submission; highlights empty title field with required error.</v>
      </c>
      <c r="F78" s="21" t="str">
        <f>Calendar!F8</f>
        <v/>
      </c>
      <c r="G78" s="16" t="str">
        <f>Calendar!G8</f>
        <v>Unknown</v>
      </c>
    </row>
    <row r="79" ht="42.0" customHeight="1">
      <c r="A79" s="22" t="str">
        <f>Calendar!A9</f>
        <v>Staff deletes or cancels scheduled event</v>
      </c>
      <c r="B79" s="25" t="str">
        <f>Calendar!B9</f>
        <v>Event Deletion</v>
      </c>
      <c r="C79" s="23" t="str">
        <f>Calendar!C9</f>
        <v>Calendar</v>
      </c>
      <c r="D79" s="25" t="str">
        <f>Calendar!D9</f>
        <v>Open event detail modal as staff and click 'Delete event' button with confirmation.</v>
      </c>
      <c r="E79" s="25" t="str">
        <f>Calendar!E9</f>
        <v>Calls DELETE /events/:id; event is removed from calendar display.</v>
      </c>
      <c r="F79" s="25" t="str">
        <f>Calendar!F9</f>
        <v/>
      </c>
      <c r="G79" s="23" t="str">
        <f>Calendar!G9</f>
        <v>Unknown</v>
      </c>
    </row>
    <row r="80" ht="42.0" customHeight="1">
      <c r="A80" s="15" t="str">
        <f>Calendar!A10</f>
        <v>Automatic AI bulletin summary generation on event creation</v>
      </c>
      <c r="B80" s="21" t="str">
        <f>Calendar!B10</f>
        <v>AI Content Generation</v>
      </c>
      <c r="C80" s="16" t="str">
        <f>Calendar!C10</f>
        <v>Calendar</v>
      </c>
      <c r="D80" s="21" t="str">
        <f>Calendar!D10</f>
        <v>As staff, create a new calendar event and check for automated AI bulletin summary.</v>
      </c>
      <c r="E80" s="21" t="str">
        <f>Calendar!E10</f>
        <v>AI endpoint generates welcoming 2-sentence bulletin summary.</v>
      </c>
      <c r="F80" s="21" t="str">
        <f>Calendar!F10</f>
        <v/>
      </c>
      <c r="G80" s="16" t="str">
        <f>Calendar!G10</f>
        <v>Unknown</v>
      </c>
    </row>
    <row r="81" ht="42.0" customHeight="1">
      <c r="A81" s="22" t="str">
        <f>Calendar!A11</f>
        <v>Export calendar gatherings to Apple iCal / .ics file</v>
      </c>
      <c r="B81" s="25" t="str">
        <f>Calendar!B11</f>
        <v>Calendar Standards Export</v>
      </c>
      <c r="C81" s="23" t="str">
        <f>Calendar!C11</f>
        <v>Calendar</v>
      </c>
      <c r="D81" s="25" t="str">
        <f>Calendar!D11</f>
        <v>Click 'Add to calendar' / export button on an event detail view.</v>
      </c>
      <c r="E81" s="25" t="str">
        <f>Calendar!E11</f>
        <v>Downloads standardized .ics file for importing into Apple Calendar or Outlook.</v>
      </c>
      <c r="F81" s="25" t="str">
        <f>Calendar!F11</f>
        <v/>
      </c>
      <c r="G81" s="23" t="str">
        <f>Calendar!G11</f>
        <v>Unknown</v>
      </c>
    </row>
    <row r="82" ht="42.0" customHeight="1">
      <c r="A82" s="15" t="str">
        <f>Give!A2</f>
        <v>Select preset donation amount button</v>
      </c>
      <c r="B82" s="21" t="str">
        <f>Give!B2</f>
        <v>Donation Flow</v>
      </c>
      <c r="C82" s="16" t="str">
        <f>Give!C2</f>
        <v>Give</v>
      </c>
      <c r="D82" s="21" t="str">
        <f>Give!D2</f>
        <v>Click preset dollar amount button '$100'.</v>
      </c>
      <c r="E82" s="21" t="str">
        <f>Give!E2</f>
        <v>Donation total updates to '$100.00' and highlights the $100 button.</v>
      </c>
      <c r="F82" s="21" t="str">
        <f>Give!F2</f>
        <v/>
      </c>
      <c r="G82" s="16" t="str">
        <f>Give!G2</f>
        <v>Unknown</v>
      </c>
    </row>
    <row r="83" ht="42.0" customHeight="1">
      <c r="A83" s="22" t="str">
        <f>Give!A3</f>
        <v>Enter custom donation dollar amount with validation</v>
      </c>
      <c r="B83" s="25" t="str">
        <f>Give!B3</f>
        <v>Form Validation</v>
      </c>
      <c r="C83" s="23" t="str">
        <f>Give!C3</f>
        <v>Give</v>
      </c>
      <c r="D83" s="25" t="str">
        <f>Give!D3</f>
        <v>Click 'Custom amount' input, type '150.00', and proceed.</v>
      </c>
      <c r="E83" s="25" t="str">
        <f>Give!E3</f>
        <v>Custom amount input accepts numeric value and sets donation total to $150.00.</v>
      </c>
      <c r="F83" s="25" t="str">
        <f>Give!F3</f>
        <v/>
      </c>
      <c r="G83" s="23" t="str">
        <f>Give!G3</f>
        <v>Unknown</v>
      </c>
    </row>
    <row r="84" ht="42.0" customHeight="1">
      <c r="A84" s="15" t="str">
        <f>Give!A4</f>
        <v>Select designated fund from fund selector dropdown</v>
      </c>
      <c r="B84" s="21" t="str">
        <f>Give!B4</f>
        <v>Fund Allocation</v>
      </c>
      <c r="C84" s="16" t="str">
        <f>Give!C4</f>
        <v>Give</v>
      </c>
      <c r="D84" s="21" t="str">
        <f>Give!D4</f>
        <v>Open fund selector dropdown and choose 'Missions Fund'.</v>
      </c>
      <c r="E84" s="21" t="str">
        <f>Give!E4</f>
        <v>Donation allocation updates to 'Missions Fund'; fund ID included in checkout session request.</v>
      </c>
      <c r="F84" s="21" t="str">
        <f>Give!F4</f>
        <v/>
      </c>
      <c r="G84" s="16" t="str">
        <f>Give!G4</f>
        <v>Unknown</v>
      </c>
    </row>
    <row r="85" ht="42.0" customHeight="1">
      <c r="A85" s="22" t="str">
        <f>Give!A5</f>
        <v>Browse active mission trips on Mission Trips tab</v>
      </c>
      <c r="B85" s="25" t="str">
        <f>Give!B5</f>
        <v>Mission Trips Discovery</v>
      </c>
      <c r="C85" s="23" t="str">
        <f>Give!C5</f>
        <v>Give</v>
      </c>
      <c r="D85" s="25" t="str">
        <f>Give!D5</f>
        <v>Click 'Mission trips' tab ('#/give/trips').</v>
      </c>
      <c r="E85" s="25" t="str">
        <f>Give!E5</f>
        <v>Displays active mission trips with destination, trip dates, team size, and funding progress bar.</v>
      </c>
      <c r="F85" s="25" t="str">
        <f>Give!F5</f>
        <v/>
      </c>
      <c r="G85" s="23" t="str">
        <f>Give!G5</f>
        <v>Unknown</v>
      </c>
    </row>
    <row r="86" ht="42.0" customHeight="1">
      <c r="A86" s="15" t="str">
        <f>Give!A6</f>
        <v>Click 'Support this trip' to prefill donation fund</v>
      </c>
      <c r="B86" s="21" t="str">
        <f>Give!B6</f>
        <v>Designated Trip Support</v>
      </c>
      <c r="C86" s="16" t="str">
        <f>Give!C6</f>
        <v>Give</v>
      </c>
      <c r="D86" s="21" t="str">
        <f>Give!D6</f>
        <v>Click 'Support this trip' button on Guatemala outreach card.</v>
      </c>
      <c r="E86" s="21" t="str">
        <f>Give!E6</f>
        <v>Navigates to '#/give' with Guatemala mission fund pre-selected in fund dropdown.</v>
      </c>
      <c r="F86" s="21" t="str">
        <f>Give!F6</f>
        <v/>
      </c>
      <c r="G86" s="16" t="str">
        <f>Give!G6</f>
        <v>Unknown</v>
      </c>
    </row>
    <row r="87" ht="42.0" customHeight="1">
      <c r="A87" s="22" t="str">
        <f>Give!A7</f>
        <v>Submit volunteer application to join a mission trip</v>
      </c>
      <c r="B87" s="25" t="str">
        <f>Give!B7</f>
        <v>Trip Volunteer Application</v>
      </c>
      <c r="C87" s="23" t="str">
        <f>Give!C7</f>
        <v>Give</v>
      </c>
      <c r="D87" s="25" t="str">
        <f>Give!D7</f>
        <v>Click 'Apply to go', fill in applicant name, email, skills, and submit application.</v>
      </c>
      <c r="E87" s="25" t="str">
        <f>Give!E7</f>
        <v>Calls POST /trips/:id/apply; submits application for staff review; displays confirmation.</v>
      </c>
      <c r="F87" s="25" t="str">
        <f>Give!F7</f>
        <v/>
      </c>
      <c r="G87" s="23" t="str">
        <f>Give!G7</f>
        <v>Unknown</v>
      </c>
    </row>
    <row r="88" ht="42.0" customHeight="1">
      <c r="A88" s="15" t="str">
        <f>Give!A8</f>
        <v>Access monthly recurring gift management via secure token</v>
      </c>
      <c r="B88" s="21" t="str">
        <f>Give!B8</f>
        <v>Subscription Self-Service</v>
      </c>
      <c r="C88" s="16" t="str">
        <f>Give!C8</f>
        <v>Give</v>
      </c>
      <c r="D88" s="21" t="str">
        <f>Give!D8</f>
        <v>Open manage gift link with valid token ('#/give/manage/:church.:token').</v>
      </c>
      <c r="E88" s="21" t="str">
        <f>Give!E8</f>
        <v>Loads donor's monthly gift details: amount, designated fund, next billing date, and cancellation action.</v>
      </c>
      <c r="F88" s="21" t="str">
        <f>Give!F8</f>
        <v/>
      </c>
      <c r="G88" s="16" t="str">
        <f>Give!G8</f>
        <v>Unknown</v>
      </c>
    </row>
    <row r="89" ht="42.0" customHeight="1">
      <c r="A89" s="22" t="str">
        <f>Give!A9</f>
        <v>Cancel recurring monthly donation</v>
      </c>
      <c r="B89" s="25" t="str">
        <f>Give!B9</f>
        <v>Subscription Management</v>
      </c>
      <c r="C89" s="23" t="str">
        <f>Give!C9</f>
        <v>Give</v>
      </c>
      <c r="D89" s="25" t="str">
        <f>Give!D9</f>
        <v>On the manage recurring gift screen, click 'Cancel monthly gift' and confirm in prompt.</v>
      </c>
      <c r="E89" s="25" t="str">
        <f>Give!E9</f>
        <v>Calls DELETE /giving/recurring; cancels Stripe subscription; displays cancellation confirmation.</v>
      </c>
      <c r="F89" s="25" t="str">
        <f>Give!F9</f>
        <v/>
      </c>
      <c r="G89" s="23" t="str">
        <f>Give!G9</f>
        <v>Unknown</v>
      </c>
    </row>
    <row r="90" ht="42.0" customHeight="1">
      <c r="A90" s="15" t="str">
        <f>Give!A10</f>
        <v>Direct credit card donation processing in Demo Mode</v>
      </c>
      <c r="B90" s="21" t="str">
        <f>Give!B10</f>
        <v>Payment Processing</v>
      </c>
      <c r="C90" s="16" t="str">
        <f>Give!C10</f>
        <v>Give</v>
      </c>
      <c r="D90" s="21" t="str">
        <f>Give!D10</f>
        <v>Enter donation amount and attempt live credit card payment on demo church ('slug: demo').</v>
      </c>
      <c r="E90" s="21" t="str">
        <f>Give!E10</f>
        <v>Processes live donation via Stripe payment gateway.</v>
      </c>
      <c r="F90" s="21" t="str">
        <f>Give!F10</f>
        <v/>
      </c>
      <c r="G90" s="16" t="str">
        <f>Give!G10</f>
        <v>Unknown</v>
      </c>
    </row>
    <row r="91" ht="42.0" customHeight="1">
      <c r="A91" s="22" t="str">
        <f>Give!A11</f>
        <v>Monthly recurring donation setup without Stripe Connect</v>
      </c>
      <c r="B91" s="25" t="str">
        <f>Give!B11</f>
        <v>Payment Configuration Prerequisite</v>
      </c>
      <c r="C91" s="23" t="str">
        <f>Give!C11</f>
        <v>Give</v>
      </c>
      <c r="D91" s="25" t="str">
        <f>Give!D11</f>
        <v>Attempt to set up monthly recurring donation on a church that has not connected Stripe.</v>
      </c>
      <c r="E91" s="25" t="str">
        <f>Give!E11</f>
        <v>Monthly recurring option is disabled with clear prerequisite explanation.</v>
      </c>
      <c r="F91" s="25" t="str">
        <f>Give!F11</f>
        <v/>
      </c>
      <c r="G91" s="23" t="str">
        <f>Give!G11</f>
        <v>Unknown</v>
      </c>
    </row>
    <row r="92" ht="42.0" customHeight="1">
      <c r="A92" s="15" t="str">
        <f>'Prayer Map'!A2</f>
        <v>Render interactive Leaflet world map with partner borders</v>
      </c>
      <c r="B92" s="21" t="str">
        <f>'Prayer Map'!B2</f>
        <v>Map Visualization</v>
      </c>
      <c r="C92" s="16" t="str">
        <f>'Prayer Map'!C2</f>
        <v>Prayer Map</v>
      </c>
      <c r="D92" s="21" t="str">
        <f>'Prayer Map'!D2</f>
        <v>Navigate to '#/prayer'.</v>
      </c>
      <c r="E92" s="21" t="str">
        <f>'Prayer Map'!E2</f>
        <v>Leaflet map initializes centered on global partner regions with highlighted country border polygons.</v>
      </c>
      <c r="F92" s="21" t="str">
        <f>'Prayer Map'!F2</f>
        <v/>
      </c>
      <c r="G92" s="16" t="str">
        <f>'Prayer Map'!G2</f>
        <v>Unknown</v>
      </c>
    </row>
    <row r="93" ht="42.0" customHeight="1">
      <c r="A93" s="22" t="str">
        <f>'Prayer Map'!A3</f>
        <v>Click country prayer beacon to inspect prayer focus</v>
      </c>
      <c r="B93" s="25" t="str">
        <f>'Prayer Map'!B3</f>
        <v>Prayer Focus Inspection</v>
      </c>
      <c r="C93" s="23" t="str">
        <f>'Prayer Map'!C3</f>
        <v>Prayer Map</v>
      </c>
      <c r="D93" s="25" t="str">
        <f>'Prayer Map'!D3</f>
        <v>Click pulsing prayer beacon pin located on country 'Nepal'.</v>
      </c>
      <c r="E93" s="25" t="str">
        <f>'Prayer Map'!E3</f>
        <v>Map centers on Nepal; 'prayer-detail' card below map populates with Nepal prayer needs and cultural context.</v>
      </c>
      <c r="F93" s="25" t="str">
        <f>'Prayer Map'!F3</f>
        <v/>
      </c>
      <c r="G93" s="23" t="str">
        <f>'Prayer Map'!G3</f>
        <v>Unknown</v>
      </c>
    </row>
    <row r="94" ht="42.0" customHeight="1">
      <c r="A94" s="15" t="str">
        <f>'Prayer Map'!A4</f>
        <v>Click real news pin to inspect verified headline and date</v>
      </c>
      <c r="B94" s="21" t="str">
        <f>'Prayer Map'!B4</f>
        <v>News Pin Popup</v>
      </c>
      <c r="C94" s="16" t="str">
        <f>'Prayer Map'!C4</f>
        <v>Prayer Map</v>
      </c>
      <c r="D94" s="21" t="str">
        <f>'Prayer Map'!D4</f>
        <v>Click on red news pin marker located in Kenya.</v>
      </c>
      <c r="E94" s="21" t="str">
        <f>'Prayer Map'!E4</f>
        <v>Popup appears displaying verified news headline, publication date, and summary.</v>
      </c>
      <c r="F94" s="21" t="str">
        <f>'Prayer Map'!F4</f>
        <v/>
      </c>
      <c r="G94" s="16" t="str">
        <f>'Prayer Map'!G4</f>
        <v>Unknown</v>
      </c>
    </row>
    <row r="95" ht="42.0" customHeight="1">
      <c r="A95" s="22" t="str">
        <f>'Prayer Map'!A5</f>
        <v>Verify sensitive nation security safeguard hides team coordinates</v>
      </c>
      <c r="B95" s="25" t="str">
        <f>'Prayer Map'!B5</f>
        <v>Security &amp; Anonymization</v>
      </c>
      <c r="C95" s="23" t="str">
        <f>'Prayer Map'!C5</f>
        <v>Prayer Map</v>
      </c>
      <c r="D95" s="25" t="str">
        <f>'Prayer Map'!D5</f>
        <v>Inspect prayer beacon for restricted/sensitive country.</v>
      </c>
      <c r="E95" s="25" t="str">
        <f>'Prayer Map'!E5</f>
        <v>Pulsing beacon displays only country-level centroid; no local address, GPS coordinates, or missionary names are exposed.</v>
      </c>
      <c r="F95" s="25" t="str">
        <f>'Prayer Map'!F5</f>
        <v/>
      </c>
      <c r="G95" s="23" t="str">
        <f>'Prayer Map'!G5</f>
        <v>Unknown</v>
      </c>
    </row>
    <row r="96" ht="42.0" customHeight="1">
      <c r="A96" s="15" t="str">
        <f>'Prayer Map'!A6</f>
        <v>Verify compact labels toggle on dense zoom levels</v>
      </c>
      <c r="B96" s="21" t="str">
        <f>'Prayer Map'!B6</f>
        <v>Label Collision Prevention</v>
      </c>
      <c r="C96" s="16" t="str">
        <f>'Prayer Map'!C6</f>
        <v>Prayer Map</v>
      </c>
      <c r="D96" s="21" t="str">
        <f>'Prayer Map'!D6</f>
        <v>Zoom out map to world overview level.</v>
      </c>
      <c r="E96" s="21" t="str">
        <f>'Prayer Map'!E6</f>
        <v>LabelDensity hook detects potential label collisions and adds 'compact-labels' class to suppress overlapping text.</v>
      </c>
      <c r="F96" s="21" t="str">
        <f>'Prayer Map'!F6</f>
        <v/>
      </c>
      <c r="G96" s="16" t="str">
        <f>'Prayer Map'!G6</f>
        <v>Unknown</v>
      </c>
    </row>
    <row r="97" ht="42.0" customHeight="1">
      <c r="A97" s="22" t="str">
        <f>'Prayer Map'!A7</f>
        <v>Click 'Fit to borders' to re-center partner nations</v>
      </c>
      <c r="B97" s="25" t="str">
        <f>'Prayer Map'!B7</f>
        <v>Map Bounds Ergonomics</v>
      </c>
      <c r="C97" s="23" t="str">
        <f>'Prayer Map'!C7</f>
        <v>Prayer Map</v>
      </c>
      <c r="D97" s="25" t="str">
        <f>'Prayer Map'!D7</f>
        <v>Pan map far off-center and refresh or trigger fit bounds.</v>
      </c>
      <c r="E97" s="25" t="str">
        <f>'Prayer Map'!E7</f>
        <v>Map automatically calculates bounding box of all church mission regions and fits view with 40px padding.</v>
      </c>
      <c r="F97" s="25" t="str">
        <f>'Prayer Map'!F7</f>
        <v/>
      </c>
      <c r="G97" s="23" t="str">
        <f>'Prayer Map'!G7</f>
        <v>Unknown</v>
      </c>
    </row>
    <row r="98" ht="42.0" customHeight="1">
      <c r="A98" s="15" t="str">
        <f>'Prayer Map'!A8</f>
        <v>Filter prayer updates by selected country</v>
      </c>
      <c r="B98" s="21" t="str">
        <f>'Prayer Map'!B8</f>
        <v>Geographic Filtering</v>
      </c>
      <c r="C98" s="16" t="str">
        <f>'Prayer Map'!C8</f>
        <v>Prayer Map</v>
      </c>
      <c r="D98" s="21" t="str">
        <f>'Prayer Map'!D8</f>
        <v>Select country 'Colombia' from partner nations list.</v>
      </c>
      <c r="E98" s="21" t="str">
        <f>'Prayer Map'!E8</f>
        <v>News and prayer requests list below map filters exclusively to items matching Colombia country code.</v>
      </c>
      <c r="F98" s="21" t="str">
        <f>'Prayer Map'!F8</f>
        <v/>
      </c>
      <c r="G98" s="16" t="str">
        <f>'Prayer Map'!G8</f>
        <v>Unknown</v>
      </c>
    </row>
    <row r="99" ht="42.0" customHeight="1">
      <c r="A99" s="22" t="str">
        <f>'Prayer Map'!A9</f>
        <v>Smooth scroll to selected prayer detail card</v>
      </c>
      <c r="B99" s="25" t="str">
        <f>'Prayer Map'!B9</f>
        <v>Interaction Ergonomics</v>
      </c>
      <c r="C99" s="23" t="str">
        <f>'Prayer Map'!C9</f>
        <v>Prayer Map</v>
      </c>
      <c r="D99" s="25" t="str">
        <f>'Prayer Map'!D9</f>
        <v>Click any country beacon on desktop viewport.</v>
      </c>
      <c r="E99" s="25" t="str">
        <f>'Prayer Map'!E9</f>
        <v>Browser smoothly scrolls down to position 'prayer-detail' card into prominent view.</v>
      </c>
      <c r="F99" s="25" t="str">
        <f>'Prayer Map'!F9</f>
        <v/>
      </c>
      <c r="G99" s="23" t="str">
        <f>'Prayer Map'!G9</f>
        <v>Unknown</v>
      </c>
    </row>
    <row r="100" ht="42.0" customHeight="1">
      <c r="A100" s="15" t="str">
        <f>'Prayer Map'!A10</f>
        <v>Map rendering during backend API service outage</v>
      </c>
      <c r="B100" s="21" t="str">
        <f>'Prayer Map'!B10</f>
        <v>Fault Resilience</v>
      </c>
      <c r="C100" s="16" t="str">
        <f>'Prayer Map'!C10</f>
        <v>Prayer Map</v>
      </c>
      <c r="D100" s="21" t="str">
        <f>'Prayer Map'!D10</f>
        <v>Disconnect backend API server and navigate to '#/prayer'.</v>
      </c>
      <c r="E100" s="21" t="str">
        <f>'Prayer Map'!E10</f>
        <v>Map displays cached offline regions with retry option.</v>
      </c>
      <c r="F100" s="21" t="str">
        <f>'Prayer Map'!F10</f>
        <v/>
      </c>
      <c r="G100" s="16" t="str">
        <f>'Prayer Map'!G10</f>
        <v>Unknown</v>
      </c>
    </row>
    <row r="101" ht="42.0" customHeight="1">
      <c r="A101" s="22" t="str">
        <f>'Prayer Map'!A11</f>
        <v>Country beacon precision on small island nations</v>
      </c>
      <c r="B101" s="25" t="str">
        <f>'Prayer Map'!B11</f>
        <v>Geographic Centroid Precision</v>
      </c>
      <c r="C101" s="23" t="str">
        <f>'Prayer Map'!C11</f>
        <v>Prayer Map</v>
      </c>
      <c r="D101" s="25" t="str">
        <f>'Prayer Map'!D11</f>
        <v>Inspect prayer beacon for small archipelagic partner nation (e.g. Fiji).</v>
      </c>
      <c r="E101" s="25" t="str">
        <f>'Prayer Map'!E11</f>
        <v>Beacon pins directly to inhabited land territory.</v>
      </c>
      <c r="F101" s="25" t="str">
        <f>'Prayer Map'!F11</f>
        <v/>
      </c>
      <c r="G101" s="23" t="str">
        <f>'Prayer Map'!G11</f>
        <v>Unknown</v>
      </c>
    </row>
    <row r="102" ht="42.0" customHeight="1">
      <c r="A102" s="15" t="str">
        <f>'About - Our Story'!A2</f>
        <v>Display church mission statement banner</v>
      </c>
      <c r="B102" s="21" t="str">
        <f>'About - Our Story'!B2</f>
        <v>Mission Display</v>
      </c>
      <c r="C102" s="16" t="str">
        <f>'About - Our Story'!C2</f>
        <v>About - Our Story</v>
      </c>
      <c r="D102" s="21" t="str">
        <f>'About - Our Story'!D2</f>
        <v>Navigate to '#/about'.</v>
      </c>
      <c r="E102" s="21" t="str">
        <f>'About - Our Story'!E2</f>
        <v>Displays 'Our mission' card featuring the church's core mission statement in prominent typography.</v>
      </c>
      <c r="F102" s="21" t="str">
        <f>'About - Our Story'!F2</f>
        <v/>
      </c>
      <c r="G102" s="16" t="str">
        <f>'About - Our Story'!G2</f>
        <v>Unknown</v>
      </c>
    </row>
    <row r="103" ht="42.0" customHeight="1">
      <c r="A103" s="22" t="str">
        <f>'About - Our Story'!A3</f>
        <v>Render church narrative story and history paragraphs</v>
      </c>
      <c r="B103" s="25" t="str">
        <f>'About - Our Story'!B3</f>
        <v>Storytelling Content</v>
      </c>
      <c r="C103" s="23" t="str">
        <f>'About - Our Story'!C3</f>
        <v>About - Our Story</v>
      </c>
      <c r="D103" s="25" t="str">
        <f>'About - Our Story'!D3</f>
        <v>Inspect 'Our story' section on About page.</v>
      </c>
      <c r="E103" s="25" t="str">
        <f>'About - Our Story'!E3</f>
        <v>Renders formatted narrative paragraphs detailing church founding, vision, and community impact.</v>
      </c>
      <c r="F103" s="25" t="str">
        <f>'About - Our Story'!F3</f>
        <v/>
      </c>
      <c r="G103" s="23" t="str">
        <f>'About - Our Story'!G3</f>
        <v>Unknown</v>
      </c>
    </row>
    <row r="104" ht="42.0" customHeight="1">
      <c r="A104" s="15" t="str">
        <f>'About - Our Story'!A4</f>
        <v>Inspect core values cards with distinct icons</v>
      </c>
      <c r="B104" s="21" t="str">
        <f>'About - Our Story'!B4</f>
        <v>Core Values</v>
      </c>
      <c r="C104" s="16" t="str">
        <f>'About - Our Story'!C4</f>
        <v>About - Our Story</v>
      </c>
      <c r="D104" s="21" t="str">
        <f>'About - Our Story'!D4</f>
        <v>Inspect 'What we value' grid on About page.</v>
      </c>
      <c r="E104" s="21" t="str">
        <f>'About - Our Story'!E4</f>
        <v>Displays core value cards (e.g. Grace, Community, Service, Scripture) each with distinct icon and description.</v>
      </c>
      <c r="F104" s="21" t="str">
        <f>'About - Our Story'!F4</f>
        <v/>
      </c>
      <c r="G104" s="16" t="str">
        <f>'About - Our Story'!G4</f>
        <v>Unknown</v>
      </c>
    </row>
    <row r="105" ht="42.0" customHeight="1">
      <c r="A105" s="22" t="str">
        <f>'About - Our Story'!A5</f>
        <v>Verify office hours and physical location in visit block</v>
      </c>
      <c r="B105" s="25" t="str">
        <f>'About - Our Story'!B5</f>
        <v>Facility Details</v>
      </c>
      <c r="C105" s="23" t="str">
        <f>'About - Our Story'!C5</f>
        <v>About - Our Story</v>
      </c>
      <c r="D105" s="25" t="str">
        <f>'About - Our Story'!D5</f>
        <v>Inspect 'Find us / Come visit' section on About page.</v>
      </c>
      <c r="E105" s="25" t="str">
        <f>'About - Our Story'!E5</f>
        <v>Displays church street address, office hours, and weekly gathering times.</v>
      </c>
      <c r="F105" s="25" t="str">
        <f>'About - Our Story'!F5</f>
        <v/>
      </c>
      <c r="G105" s="23" t="str">
        <f>'About - Our Story'!G5</f>
        <v>Unknown</v>
      </c>
    </row>
    <row r="106" ht="42.0" customHeight="1">
      <c r="A106" s="15" t="str">
        <f>'About - Our Story'!A6</f>
        <v>Click 'Plan your visit' CTA button</v>
      </c>
      <c r="B106" s="21" t="str">
        <f>'About - Our Story'!B6</f>
        <v>Internal Navigation</v>
      </c>
      <c r="C106" s="16" t="str">
        <f>'About - Our Story'!C6</f>
        <v>About - Our Story</v>
      </c>
      <c r="D106" s="21" t="str">
        <f>'About - Our Story'!D6</f>
        <v>Click 'Plan your visit' primary button at bottom of story page.</v>
      </c>
      <c r="E106" s="21" t="str">
        <f>'About - Our Story'!E6</f>
        <v>Navigates directly to '#/guests/plan' guest visit registration page.</v>
      </c>
      <c r="F106" s="21" t="str">
        <f>'About - Our Story'!F6</f>
        <v/>
      </c>
      <c r="G106" s="16" t="str">
        <f>'About - Our Story'!G6</f>
        <v>Unknown</v>
      </c>
    </row>
    <row r="107" ht="42.0" customHeight="1">
      <c r="A107" s="22" t="str">
        <f>'About - Our Story'!A7</f>
        <v>Click 'What we believe' button to navigate to beliefs tab</v>
      </c>
      <c r="B107" s="25" t="str">
        <f>'About - Our Story'!B7</f>
        <v>Sub-navigation</v>
      </c>
      <c r="C107" s="23" t="str">
        <f>'About - Our Story'!C7</f>
        <v>About - Our Story</v>
      </c>
      <c r="D107" s="25" t="str">
        <f>'About - Our Story'!D7</f>
        <v>Click 'What we believe' secondary button.</v>
      </c>
      <c r="E107" s="25" t="str">
        <f>'About - Our Story'!E7</f>
        <v>Navigates to '#/about/beliefs' statement of faith tab.</v>
      </c>
      <c r="F107" s="25" t="str">
        <f>'About - Our Story'!F7</f>
        <v/>
      </c>
      <c r="G107" s="23" t="str">
        <f>'About - Our Story'!G7</f>
        <v>Unknown</v>
      </c>
    </row>
    <row r="108" ht="42.0" customHeight="1">
      <c r="A108" s="15" t="str">
        <f>'About - Our Story'!A8</f>
        <v>Click 'Connect with us' button to navigate to connect tab</v>
      </c>
      <c r="B108" s="21" t="str">
        <f>'About - Our Story'!B8</f>
        <v>Sub-navigation</v>
      </c>
      <c r="C108" s="16" t="str">
        <f>'About - Our Story'!C8</f>
        <v>About - Our Story</v>
      </c>
      <c r="D108" s="21" t="str">
        <f>'About - Our Story'!D8</f>
        <v>Click 'Connect with us' button.</v>
      </c>
      <c r="E108" s="21" t="str">
        <f>'About - Our Story'!E8</f>
        <v>Navigates to '#/about/connect' next steps page.</v>
      </c>
      <c r="F108" s="21" t="str">
        <f>'About - Our Story'!F8</f>
        <v/>
      </c>
      <c r="G108" s="16" t="str">
        <f>'About - Our Story'!G8</f>
        <v>Unknown</v>
      </c>
    </row>
    <row r="109" ht="42.0" customHeight="1">
      <c r="A109" s="22" t="str">
        <f>'About - Our Story'!A9</f>
        <v>Hover sourced story text to verify import quote attribution</v>
      </c>
      <c r="B109" s="25" t="str">
        <f>'About - Our Story'!B9</f>
        <v>Provenance Verification</v>
      </c>
      <c r="C109" s="23" t="str">
        <f>'About - Our Story'!C9</f>
        <v>About - Our Story</v>
      </c>
      <c r="D109" s="25" t="str">
        <f>'About - Our Story'!D9</f>
        <v>When previewing an imported church site, hover over imported About text.</v>
      </c>
      <c r="E109" s="25" t="str">
        <f>'About - Our Story'!E9</f>
        <v>Sourced component tooltip appears displaying source URL and verbatim quote from imported website.</v>
      </c>
      <c r="F109" s="25" t="str">
        <f>'About - Our Story'!F9</f>
        <v/>
      </c>
      <c r="G109" s="23" t="str">
        <f>'About - Our Story'!G9</f>
        <v>Unknown</v>
      </c>
    </row>
    <row r="110" ht="42.0" customHeight="1">
      <c r="A110" s="15" t="str">
        <f>'About - Our Story'!A10</f>
        <v>Verify dynamic church name replacement across all story text</v>
      </c>
      <c r="B110" s="21" t="str">
        <f>'About - Our Story'!B10</f>
        <v>Tenant Personalization</v>
      </c>
      <c r="C110" s="16" t="str">
        <f>'About - Our Story'!C10</f>
        <v>About - Our Story</v>
      </c>
      <c r="D110" s="21" t="str">
        <f>'About - Our Story'!D10</f>
        <v>View About page across two different tenant church configurations.</v>
      </c>
      <c r="E110" s="21" t="str">
        <f>'About - Our Story'!E10</f>
        <v>Intro subtitle and story text dynamically replace placeholder with active church name.</v>
      </c>
      <c r="F110" s="21" t="str">
        <f>'About - Our Story'!F10</f>
        <v/>
      </c>
      <c r="G110" s="16" t="str">
        <f>'About - Our Story'!G10</f>
        <v>Unknown</v>
      </c>
    </row>
    <row r="111" ht="42.0" customHeight="1">
      <c r="A111" s="22" t="str">
        <f>'About - Our Story'!A11</f>
        <v>Provenance quote tooltip on mobile touchscreens</v>
      </c>
      <c r="B111" s="25" t="str">
        <f>'About - Our Story'!B11</f>
        <v>Touchscreen Tooltip Ergonomics</v>
      </c>
      <c r="C111" s="23" t="str">
        <f>'About - Our Story'!C11</f>
        <v>About - Our Story</v>
      </c>
      <c r="D111" s="25" t="str">
        <f>'About - Our Story'!D11</f>
        <v>Tap sourced sentence on mobile phone to inspect provenance source and quote.</v>
      </c>
      <c r="E111" s="25" t="str">
        <f>'About - Our Story'!E11</f>
        <v>Mobile modal or popover opens displaying quote attribution.</v>
      </c>
      <c r="F111" s="25" t="str">
        <f>'About - Our Story'!F11</f>
        <v/>
      </c>
      <c r="G111" s="23" t="str">
        <f>'About - Our Story'!G11</f>
        <v>Unknown</v>
      </c>
    </row>
    <row r="112" ht="42.0" customHeight="1">
      <c r="A112" s="15" t="str">
        <f>'About - Beliefs'!A2</f>
        <v>Render statement of belief introductory preamble</v>
      </c>
      <c r="B112" s="21" t="str">
        <f>'About - Beliefs'!B2</f>
        <v>Doctrinal Overview</v>
      </c>
      <c r="C112" s="16" t="str">
        <f>'About - Beliefs'!C2</f>
        <v>About - Beliefs</v>
      </c>
      <c r="D112" s="21" t="str">
        <f>'About - Beliefs'!D2</f>
        <v>Navigate to '#/about/beliefs'.</v>
      </c>
      <c r="E112" s="21" t="str">
        <f>'About - Beliefs'!E2</f>
        <v>Displays preamble card: 'What we hold to' explaining the convictions that shape teaching and life together.</v>
      </c>
      <c r="F112" s="21" t="str">
        <f>'About - Beliefs'!F2</f>
        <v/>
      </c>
      <c r="G112" s="16" t="str">
        <f>'About - Beliefs'!G2</f>
        <v>Unknown</v>
      </c>
    </row>
    <row r="113" ht="42.0" customHeight="1">
      <c r="A113" s="22" t="str">
        <f>'About - Beliefs'!A3</f>
        <v>Verify sequential two-digit numbering on belief articles</v>
      </c>
      <c r="B113" s="25" t="str">
        <f>'About - Beliefs'!B3</f>
        <v>Article Enumeration</v>
      </c>
      <c r="C113" s="23" t="str">
        <f>'About - Beliefs'!C3</f>
        <v>About - Beliefs</v>
      </c>
      <c r="D113" s="25" t="str">
        <f>'About - Beliefs'!D3</f>
        <v>Inspect numbered belief badges in the beliefs list.</v>
      </c>
      <c r="E113" s="25" t="str">
        <f>'About - Beliefs'!E3</f>
        <v>Belief items display clean two-digit index badges: '01', '02', '03' etc.</v>
      </c>
      <c r="F113" s="25" t="str">
        <f>'About - Beliefs'!F3</f>
        <v/>
      </c>
      <c r="G113" s="23" t="str">
        <f>'About - Beliefs'!G3</f>
        <v>Unknown</v>
      </c>
    </row>
    <row r="114" ht="42.0" customHeight="1">
      <c r="A114" s="15" t="str">
        <f>'About - Beliefs'!A4</f>
        <v>Inspect Article 01 on Scripture and Inspiration</v>
      </c>
      <c r="B114" s="21" t="str">
        <f>'About - Beliefs'!B4</f>
        <v>Theological Content</v>
      </c>
      <c r="C114" s="16" t="str">
        <f>'About - Beliefs'!C4</f>
        <v>About - Beliefs</v>
      </c>
      <c r="D114" s="21" t="str">
        <f>'About - Beliefs'!D4</f>
        <v>Inspect belief item 01 'The Bible'.</v>
      </c>
      <c r="E114" s="21" t="str">
        <f>'About - Beliefs'!E4</f>
        <v>Displays doctrine affirming the authority, inspiration, and trustworthiness of the Scriptures.</v>
      </c>
      <c r="F114" s="21" t="str">
        <f>'About - Beliefs'!F4</f>
        <v/>
      </c>
      <c r="G114" s="16" t="str">
        <f>'About - Beliefs'!G4</f>
        <v>Unknown</v>
      </c>
    </row>
    <row r="115" ht="42.0" customHeight="1">
      <c r="A115" s="22" t="str">
        <f>'About - Beliefs'!A5</f>
        <v>Inspect Article 02 on God and the Trinity</v>
      </c>
      <c r="B115" s="25" t="str">
        <f>'About - Beliefs'!B5</f>
        <v>Theological Content</v>
      </c>
      <c r="C115" s="23" t="str">
        <f>'About - Beliefs'!C5</f>
        <v>About - Beliefs</v>
      </c>
      <c r="D115" s="25" t="str">
        <f>'About - Beliefs'!D5</f>
        <v>Inspect belief item 02 'God'.</v>
      </c>
      <c r="E115" s="25" t="str">
        <f>'About - Beliefs'!E5</f>
        <v>Displays doctrine on God as Creator and eternally existing in three persons: Father, Son, and Holy Spirit.</v>
      </c>
      <c r="F115" s="25" t="str">
        <f>'About - Beliefs'!F5</f>
        <v/>
      </c>
      <c r="G115" s="23" t="str">
        <f>'About - Beliefs'!G5</f>
        <v>Unknown</v>
      </c>
    </row>
    <row r="116" ht="42.0" customHeight="1">
      <c r="A116" s="15" t="str">
        <f>'About - Beliefs'!A6</f>
        <v>Inspect Article on Salvation by Grace through Faith</v>
      </c>
      <c r="B116" s="21" t="str">
        <f>'About - Beliefs'!B6</f>
        <v>Theological Content</v>
      </c>
      <c r="C116" s="16" t="str">
        <f>'About - Beliefs'!C6</f>
        <v>About - Beliefs</v>
      </c>
      <c r="D116" s="21" t="str">
        <f>'About - Beliefs'!D6</f>
        <v>Inspect belief item on 'Salvation'.</v>
      </c>
      <c r="E116" s="21" t="str">
        <f>'About - Beliefs'!E6</f>
        <v>Displays doctrine explaining salvation as a free gift received through faith in Jesus Christ alone.</v>
      </c>
      <c r="F116" s="21" t="str">
        <f>'About - Beliefs'!F6</f>
        <v/>
      </c>
      <c r="G116" s="16" t="str">
        <f>'About - Beliefs'!G6</f>
        <v>Unknown</v>
      </c>
    </row>
    <row r="117" ht="42.0" customHeight="1">
      <c r="A117" s="22" t="str">
        <f>'About - Beliefs'!A7</f>
        <v>Render custom imported beliefs statement for imported site</v>
      </c>
      <c r="B117" s="25" t="str">
        <f>'About - Beliefs'!B7</f>
        <v>Custom Tenant Content</v>
      </c>
      <c r="C117" s="23" t="str">
        <f>'About - Beliefs'!C7</f>
        <v>About - Beliefs</v>
      </c>
      <c r="D117" s="25" t="str">
        <f>'About - Beliefs'!D7</f>
        <v>Open Beliefs page on church where Tekton imported custom doctrinal statement.</v>
      </c>
      <c r="E117" s="25" t="str">
        <f>'About - Beliefs'!E7</f>
        <v>ChurchBeliefs component renders the church's own imported doctrinal articles instead of sample data.</v>
      </c>
      <c r="F117" s="25" t="str">
        <f>'About - Beliefs'!F7</f>
        <v/>
      </c>
      <c r="G117" s="23" t="str">
        <f>'About - Beliefs'!G7</f>
        <v>Unknown</v>
      </c>
    </row>
    <row r="118" ht="42.0" customHeight="1">
      <c r="A118" s="15" t="str">
        <f>'About - Beliefs'!A8</f>
        <v>Display demo church statement of faith fallback</v>
      </c>
      <c r="B118" s="21" t="str">
        <f>'About - Beliefs'!B8</f>
        <v>Demo Data Integrity</v>
      </c>
      <c r="C118" s="16" t="str">
        <f>'About - Beliefs'!C8</f>
        <v>About - Beliefs</v>
      </c>
      <c r="D118" s="21" t="str">
        <f>'About - Beliefs'!D8</f>
        <v>Open Beliefs page while viewing demo church tenant.</v>
      </c>
      <c r="E118" s="21" t="str">
        <f>'About - Beliefs'!E8</f>
        <v>Renders verified default beliefs dataset from data/beliefs.json.</v>
      </c>
      <c r="F118" s="21" t="str">
        <f>'About - Beliefs'!F8</f>
        <v/>
      </c>
      <c r="G118" s="16" t="str">
        <f>'About - Beliefs'!G8</f>
        <v>Unknown</v>
      </c>
    </row>
    <row r="119" ht="42.0" customHeight="1">
      <c r="A119" s="22" t="str">
        <f>'About - Beliefs'!A9</f>
        <v>Sub-navigation tab switching to Our Story and Directory</v>
      </c>
      <c r="B119" s="25" t="str">
        <f>'About - Beliefs'!B9</f>
        <v>Sub-navigation</v>
      </c>
      <c r="C119" s="23" t="str">
        <f>'About - Beliefs'!C9</f>
        <v>About - Beliefs</v>
      </c>
      <c r="D119" s="25" t="str">
        <f>'About - Beliefs'!D9</f>
        <v>Click 'Our story' tab in sub-navigation bar.</v>
      </c>
      <c r="E119" s="25" t="str">
        <f>'About - Beliefs'!E9</f>
        <v>Switches view seamlessly back to '#/about' with active tab state updating.</v>
      </c>
      <c r="F119" s="25" t="str">
        <f>'About - Beliefs'!F9</f>
        <v/>
      </c>
      <c r="G119" s="23" t="str">
        <f>'About - Beliefs'!G9</f>
        <v>Unknown</v>
      </c>
    </row>
    <row r="120" ht="42.0" customHeight="1">
      <c r="A120" s="15" t="str">
        <f>'About - Beliefs'!A10</f>
        <v>Semantic ordered list accessibility check (&lt;ol&gt;, &lt;li&gt;)</v>
      </c>
      <c r="B120" s="21" t="str">
        <f>'About - Beliefs'!B10</f>
        <v>Accessibility Standards</v>
      </c>
      <c r="C120" s="16" t="str">
        <f>'About - Beliefs'!C10</f>
        <v>About - Beliefs</v>
      </c>
      <c r="D120" s="21" t="str">
        <f>'About - Beliefs'!D10</f>
        <v>Inspect DOM structure of the beliefs listing.</v>
      </c>
      <c r="E120" s="21" t="str">
        <f>'About - Beliefs'!E10</f>
        <v>Belief items are structured inside semantic &lt;ol class='beliefs'&gt; and &lt;li class='card belief'&gt; elements for screen readers.</v>
      </c>
      <c r="F120" s="21" t="str">
        <f>'About - Beliefs'!F10</f>
        <v/>
      </c>
      <c r="G120" s="16" t="str">
        <f>'About - Beliefs'!G10</f>
        <v>Unknown</v>
      </c>
    </row>
    <row r="121" ht="42.0" customHeight="1">
      <c r="A121" s="22" t="str">
        <f>'About - Beliefs'!A11</f>
        <v>Doctrinal beliefs display on imported site without statement of faith</v>
      </c>
      <c r="B121" s="25" t="str">
        <f>'About - Beliefs'!B11</f>
        <v>Conditional Routing</v>
      </c>
      <c r="C121" s="23" t="str">
        <f>'About - Beliefs'!C11</f>
        <v>About - Beliefs</v>
      </c>
      <c r="D121" s="25" t="str">
        <f>'About - Beliefs'!D11</f>
        <v>Open '#/about/beliefs' on church imported from a website with no beliefs page.</v>
      </c>
      <c r="E121" s="25" t="str">
        <f>'About - Beliefs'!E11</f>
        <v>Displays friendly notice explaining church has not published doctrinal beliefs.</v>
      </c>
      <c r="F121" s="25" t="str">
        <f>'About - Beliefs'!F11</f>
        <v/>
      </c>
      <c r="G121" s="23" t="str">
        <f>'About - Beliefs'!G11</f>
        <v>Unknown</v>
      </c>
    </row>
    <row r="122" ht="42.0" customHeight="1">
      <c r="A122" s="15" t="str">
        <f>'About - News'!A2</f>
        <v>Filter news feed by kind: Updates vs Articles</v>
      </c>
      <c r="B122" s="21" t="str">
        <f>'About - News'!B2</f>
        <v>Content Filtering</v>
      </c>
      <c r="C122" s="16" t="str">
        <f>'About - News'!C2</f>
        <v>About - News</v>
      </c>
      <c r="D122" s="21" t="str">
        <f>'About - News'!D2</f>
        <v>Click 'Updates' filter toggle button.</v>
      </c>
      <c r="E122" s="21" t="str">
        <f>'About - News'!E2</f>
        <v>News feed filters to display only short announcement updates; longer articles are hidden.</v>
      </c>
      <c r="F122" s="21" t="str">
        <f>'About - News'!F2</f>
        <v/>
      </c>
      <c r="G122" s="16" t="str">
        <f>'About - News'!G2</f>
        <v>Unknown</v>
      </c>
    </row>
    <row r="123" ht="42.0" customHeight="1">
      <c r="A123" s="22" t="str">
        <f>'About - News'!A3</f>
        <v>Filter news posts by category tag pill</v>
      </c>
      <c r="B123" s="25" t="str">
        <f>'About - News'!B3</f>
        <v>Taxonomy Filtering</v>
      </c>
      <c r="C123" s="23" t="str">
        <f>'About - News'!C3</f>
        <v>About - News</v>
      </c>
      <c r="D123" s="25" t="str">
        <f>'About - News'!D3</f>
        <v>Click category pill 'Outreach' in tag suggestions bar.</v>
      </c>
      <c r="E123" s="25" t="str">
        <f>'About - News'!E3</f>
        <v>Displays only posts tagged with the 'Outreach' category.</v>
      </c>
      <c r="F123" s="25" t="str">
        <f>'About - News'!F3</f>
        <v/>
      </c>
      <c r="G123" s="23" t="str">
        <f>'About - News'!G3</f>
        <v>Unknown</v>
      </c>
    </row>
    <row r="124" ht="42.0" customHeight="1">
      <c r="A124" s="15" t="str">
        <f>'About - News'!A4</f>
        <v>Expand long-form article to read full text</v>
      </c>
      <c r="B124" s="21" t="str">
        <f>'About - News'!B4</f>
        <v>Content Disclosure</v>
      </c>
      <c r="C124" s="16" t="str">
        <f>'About - News'!C4</f>
        <v>About - News</v>
      </c>
      <c r="D124" s="21" t="str">
        <f>'About - News'!D4</f>
        <v>Click 'Read the full article' button on an article exceeding 420 characters.</v>
      </c>
      <c r="E124" s="21" t="str">
        <f>'About - News'!E4</f>
        <v>Article expands smoothly revealing full body paragraphs and hides the expand button.</v>
      </c>
      <c r="F124" s="21" t="str">
        <f>'About - News'!F4</f>
        <v/>
      </c>
      <c r="G124" s="16" t="str">
        <f>'About - News'!G4</f>
        <v>Unknown</v>
      </c>
    </row>
    <row r="125" ht="42.0" customHeight="1">
      <c r="A125" s="22" t="str">
        <f>'About - News'!A5</f>
        <v>Verify AI 3-bullet summary on featured articles</v>
      </c>
      <c r="B125" s="25" t="str">
        <f>'About - News'!B5</f>
        <v>AI Article Summarization</v>
      </c>
      <c r="C125" s="23" t="str">
        <f>'About - News'!C5</f>
        <v>About - News</v>
      </c>
      <c r="D125" s="25" t="str">
        <f>'About - News'!D5</f>
        <v>Inspect header of a featured pastor article.</v>
      </c>
      <c r="E125" s="25" t="str">
        <f>'About - News'!E5</f>
        <v>Displays AI bullet summary section containing 3 concise takeaway bullet points.</v>
      </c>
      <c r="F125" s="25" t="str">
        <f>'About - News'!F5</f>
        <v/>
      </c>
      <c r="G125" s="23" t="str">
        <f>'About - News'!G5</f>
        <v>Unknown</v>
      </c>
    </row>
    <row r="126" ht="42.0" customHeight="1">
      <c r="A126" s="15" t="str">
        <f>'About - News'!A6</f>
        <v>Click internal action link on quick update post</v>
      </c>
      <c r="B126" s="21" t="str">
        <f>'About - News'!B6</f>
        <v>Contextual Action Links</v>
      </c>
      <c r="C126" s="16" t="str">
        <f>'About - News'!C6</f>
        <v>About - News</v>
      </c>
      <c r="D126" s="21" t="str">
        <f>'About - News'!D6</f>
        <v>Click 'Find a place to serve' button on volunteer announcement update.</v>
      </c>
      <c r="E126" s="21" t="str">
        <f>'About - News'!E6</f>
        <v>Executes in-app routing to '#/serve/find' without triggering full page reload.</v>
      </c>
      <c r="F126" s="21" t="str">
        <f>'About - News'!F6</f>
        <v/>
      </c>
      <c r="G126" s="16" t="str">
        <f>'About - News'!G6</f>
        <v>Unknown</v>
      </c>
    </row>
    <row r="127" ht="42.0" customHeight="1">
      <c r="A127" s="22" t="str">
        <f>'About - News'!A7</f>
        <v>Open external reference link in new browser tab</v>
      </c>
      <c r="B127" s="25" t="str">
        <f>'About - News'!B7</f>
        <v>External Link Handling</v>
      </c>
      <c r="C127" s="23" t="str">
        <f>'About - News'!C7</f>
        <v>About - News</v>
      </c>
      <c r="D127" s="25" t="str">
        <f>'About - News'!D7</f>
        <v>Click 'Learn more' external web link on community partner update.</v>
      </c>
      <c r="E127" s="25" t="str">
        <f>'About - News'!E7</f>
        <v>Opens external URL in a new browser tab with rel='noopener noreferrer'.</v>
      </c>
      <c r="F127" s="25" t="str">
        <f>'About - News'!F7</f>
        <v/>
      </c>
      <c r="G127" s="23" t="str">
        <f>'About - News'!G7</f>
        <v>Unknown</v>
      </c>
    </row>
    <row r="128" ht="42.0" customHeight="1">
      <c r="A128" s="15" t="str">
        <f>'About - News'!A8</f>
        <v>Staff opens 'Write a post' modal and creates new article</v>
      </c>
      <c r="B128" s="21" t="str">
        <f>'About - News'!B8</f>
        <v>Post Creation</v>
      </c>
      <c r="C128" s="16" t="str">
        <f>'About - News'!C8</f>
        <v>About - News</v>
      </c>
      <c r="D128" s="21" t="str">
        <f>'About - News'!D8</f>
        <v>Sign in as staff, click '+ Write a post', enter title 'Fall Outreach Kickoff', select kind 'article', write body, and click Publish.</v>
      </c>
      <c r="E128" s="21" t="str">
        <f>'About - News'!E8</f>
        <v>Calls POST /blog; article is saved and immediately appears at the top of the news feed.</v>
      </c>
      <c r="F128" s="21" t="str">
        <f>'About - News'!F8</f>
        <v/>
      </c>
      <c r="G128" s="16" t="str">
        <f>'About - News'!G8</f>
        <v>Unknown</v>
      </c>
    </row>
    <row r="129" ht="42.0" customHeight="1">
      <c r="A129" s="22" t="str">
        <f>'About - News'!A9</f>
        <v>Staff deletes outdated announcement post</v>
      </c>
      <c r="B129" s="25" t="str">
        <f>'About - News'!B9</f>
        <v>Content Moderation</v>
      </c>
      <c r="C129" s="23" t="str">
        <f>'About - News'!C9</f>
        <v>About - News</v>
      </c>
      <c r="D129" s="25" t="str">
        <f>'About - News'!D9</f>
        <v>Click 'Delete post' trash button on an expired announcement as staff.</v>
      </c>
      <c r="E129" s="25" t="str">
        <f>'About - News'!E9</f>
        <v>Calls DELETE /blog/:id; post is removed from news listing.</v>
      </c>
      <c r="F129" s="25" t="str">
        <f>'About - News'!F9</f>
        <v/>
      </c>
      <c r="G129" s="23" t="str">
        <f>'About - News'!G9</f>
        <v>Unknown</v>
      </c>
    </row>
    <row r="130" ht="42.0" customHeight="1">
      <c r="A130" s="15" t="str">
        <f>'About - News'!A10</f>
        <v>Article AI summary generation on non-standard formatting</v>
      </c>
      <c r="B130" s="21" t="str">
        <f>'About - News'!B10</f>
        <v>AI Summary Robustness</v>
      </c>
      <c r="C130" s="16" t="str">
        <f>'About - News'!C10</f>
        <v>About - News</v>
      </c>
      <c r="D130" s="21" t="str">
        <f>'About - News'!D10</f>
        <v>Staff publishes an article containing unusual ASCII formatting or markdown bullet lists.</v>
      </c>
      <c r="E130" s="21" t="str">
        <f>'About - News'!E10</f>
        <v>AI summarizes article into 3 clean bullet points.</v>
      </c>
      <c r="F130" s="21" t="str">
        <f>'About - News'!F10</f>
        <v/>
      </c>
      <c r="G130" s="16" t="str">
        <f>'About - News'!G10</f>
        <v>Unknown</v>
      </c>
    </row>
    <row r="131" ht="42.0" customHeight="1">
      <c r="A131" s="22" t="str">
        <f>'About - News'!A11</f>
        <v>Pagination / infinite scroll on large archive of news posts</v>
      </c>
      <c r="B131" s="25" t="str">
        <f>'About - News'!B11</f>
        <v>Performance &amp; Data Scalability</v>
      </c>
      <c r="C131" s="23" t="str">
        <f>'About - News'!C11</f>
        <v>About - News</v>
      </c>
      <c r="D131" s="25" t="str">
        <f>'About - News'!D11</f>
        <v>Scroll to bottom of news feed containing 50+ published posts.</v>
      </c>
      <c r="E131" s="25" t="str">
        <f>'About - News'!E11</f>
        <v>Pagination or infinite scroll loads older posts in manageable batches.</v>
      </c>
      <c r="F131" s="25" t="str">
        <f>'About - News'!F11</f>
        <v/>
      </c>
      <c r="G131" s="23" t="str">
        <f>'About - News'!G11</f>
        <v>Unknown</v>
      </c>
    </row>
    <row r="132" ht="42.0" customHeight="1">
      <c r="A132" s="15" t="str">
        <f>'About - Directory'!A2</f>
        <v>Search directory by pastor or leader name</v>
      </c>
      <c r="B132" s="21" t="str">
        <f>'About - Directory'!B2</f>
        <v>Directory Search</v>
      </c>
      <c r="C132" s="16" t="str">
        <f>'About - Directory'!C2</f>
        <v>About - Directory</v>
      </c>
      <c r="D132" s="21" t="str">
        <f>'About - Directory'!D2</f>
        <v>Type 'Marcus' into directory search input.</v>
      </c>
      <c r="E132" s="21" t="str">
        <f>'About - Directory'!E2</f>
        <v>Staff list filters immediately to staff cards matching 'Marcus'.</v>
      </c>
      <c r="F132" s="21" t="str">
        <f>'About - Directory'!F2</f>
        <v/>
      </c>
      <c r="G132" s="16" t="str">
        <f>'About - Directory'!G2</f>
        <v>Unknown</v>
      </c>
    </row>
    <row r="133" ht="42.0" customHeight="1">
      <c r="A133" s="22" t="str">
        <f>'About - Directory'!A3</f>
        <v>Search directory by ministry or department role</v>
      </c>
      <c r="B133" s="25" t="str">
        <f>'About - Directory'!B3</f>
        <v>Role Filtering</v>
      </c>
      <c r="C133" s="23" t="str">
        <f>'About - Directory'!C3</f>
        <v>About - Directory</v>
      </c>
      <c r="D133" s="25" t="str">
        <f>'About - Directory'!D3</f>
        <v>Type 'worship' into directory search input.</v>
      </c>
      <c r="E133" s="25" t="str">
        <f>'About - Directory'!E3</f>
        <v>Filters directory to staff members and ministry leaders whose role or bio contains 'worship'.</v>
      </c>
      <c r="F133" s="25" t="str">
        <f>'About - Directory'!F3</f>
        <v/>
      </c>
      <c r="G133" s="23" t="str">
        <f>'About - Directory'!G3</f>
        <v>Unknown</v>
      </c>
    </row>
    <row r="134" ht="42.0" customHeight="1">
      <c r="A134" s="15" t="str">
        <f>'About - Directory'!A4</f>
        <v>Click staff email address to open email client</v>
      </c>
      <c r="B134" s="21" t="str">
        <f>'About - Directory'!B4</f>
        <v>Click-to-Email</v>
      </c>
      <c r="C134" s="16" t="str">
        <f>'About - Directory'!C4</f>
        <v>About - Directory</v>
      </c>
      <c r="D134" s="21" t="str">
        <f>'About - Directory'!D4</f>
        <v>Click on pastor email link 'pastor@example.org'.</v>
      </c>
      <c r="E134" s="21" t="str">
        <f>'About - Directory'!E4</f>
        <v>Link triggers mailto:pastor@example.org opening default email client.</v>
      </c>
      <c r="F134" s="21" t="str">
        <f>'About - Directory'!F4</f>
        <v/>
      </c>
      <c r="G134" s="16" t="str">
        <f>'About - Directory'!G4</f>
        <v>Unknown</v>
      </c>
    </row>
    <row r="135" ht="42.0" customHeight="1">
      <c r="A135" s="22" t="str">
        <f>'About - Directory'!A5</f>
        <v>Verify Church Office card address and office hours</v>
      </c>
      <c r="B135" s="25" t="str">
        <f>'About - Directory'!B5</f>
        <v>Facility Details</v>
      </c>
      <c r="C135" s="23" t="str">
        <f>'About - Directory'!C5</f>
        <v>About - Directory</v>
      </c>
      <c r="D135" s="25" t="str">
        <f>'About - Directory'!D5</f>
        <v>Inspect top 'Church office' block on Directory page.</v>
      </c>
      <c r="E135" s="25" t="str">
        <f>'About - Directory'!E5</f>
        <v>Displays church physical street address, phone, email, and weekly office hours.</v>
      </c>
      <c r="F135" s="25" t="str">
        <f>'About - Directory'!F5</f>
        <v/>
      </c>
      <c r="G135" s="23" t="str">
        <f>'About - Directory'!G5</f>
        <v>Unknown</v>
      </c>
    </row>
    <row r="136" ht="42.0" customHeight="1">
      <c r="A136" s="15" t="str">
        <f>'About - Directory'!A6</f>
        <v>Inspect pastor biography and role card</v>
      </c>
      <c r="B136" s="21" t="str">
        <f>'About - Directory'!B6</f>
        <v>Personnel Profile</v>
      </c>
      <c r="C136" s="16" t="str">
        <f>'About - Directory'!C6</f>
        <v>About - Directory</v>
      </c>
      <c r="D136" s="21" t="str">
        <f>'About - Directory'!D6</f>
        <v>Inspect card for Senior Pastor.</v>
      </c>
      <c r="E136" s="21" t="str">
        <f>'About - Directory'!E6</f>
        <v>Card displays pastor name, official role title, bio summary, and direct email link.</v>
      </c>
      <c r="F136" s="21" t="str">
        <f>'About - Directory'!F6</f>
        <v/>
      </c>
      <c r="G136" s="16" t="str">
        <f>'About - Directory'!G6</f>
        <v>Unknown</v>
      </c>
    </row>
    <row r="137" ht="42.0" customHeight="1">
      <c r="A137" s="22" t="str">
        <f>'About - Directory'!A7</f>
        <v>Verify imported staff provenance source attribution tooltip</v>
      </c>
      <c r="B137" s="25" t="str">
        <f>'About - Directory'!B7</f>
        <v>Provenance Verification</v>
      </c>
      <c r="C137" s="23" t="str">
        <f>'About - Directory'!C7</f>
        <v>About - Directory</v>
      </c>
      <c r="D137" s="25" t="str">
        <f>'About - Directory'!D7</f>
        <v>Hover over pastor name on an imported church preview site.</v>
      </c>
      <c r="E137" s="25" t="str">
        <f>'About - Directory'!E7</f>
        <v>Sourced tooltip appears citing source page (e.g. '/our-team.html') and exact quote from original site.</v>
      </c>
      <c r="F137" s="25" t="str">
        <f>'About - Directory'!F7</f>
        <v/>
      </c>
      <c r="G137" s="23" t="str">
        <f>'About - Directory'!G7</f>
        <v>Unknown</v>
      </c>
    </row>
    <row r="138" ht="42.0" customHeight="1">
      <c r="A138" s="15" t="str">
        <f>'About - Directory'!A8</f>
        <v>Display ministry leaders associated with respective teams</v>
      </c>
      <c r="B138" s="21" t="str">
        <f>'About - Directory'!B8</f>
        <v>Ministry Leadership</v>
      </c>
      <c r="C138" s="16" t="str">
        <f>'About - Directory'!C8</f>
        <v>About - Directory</v>
      </c>
      <c r="D138" s="21" t="str">
        <f>'About - Directory'!D8</f>
        <v>Scroll to 'Ministry leaders' section in directory.</v>
      </c>
      <c r="E138" s="21" t="str">
        <f>'About - Directory'!E8</f>
        <v>Displays cards for leaders heading specific ministries (e.g. 'Leads Kids Ministry').</v>
      </c>
      <c r="F138" s="21" t="str">
        <f>'About - Directory'!F8</f>
        <v/>
      </c>
      <c r="G138" s="16" t="str">
        <f>'About - Directory'!G8</f>
        <v>Unknown</v>
      </c>
    </row>
    <row r="139" ht="42.0" customHeight="1">
      <c r="A139" s="22" t="str">
        <f>'About - Directory'!A9</f>
        <v>Clear search input to restore full staff directory listing</v>
      </c>
      <c r="B139" s="25" t="str">
        <f>'About - Directory'!B9</f>
        <v>Filter Reset</v>
      </c>
      <c r="C139" s="23" t="str">
        <f>'About - Directory'!C9</f>
        <v>About - Directory</v>
      </c>
      <c r="D139" s="25" t="str">
        <f>'About - Directory'!D9</f>
        <v>Clear text from search input box.</v>
      </c>
      <c r="E139" s="25" t="str">
        <f>'About - Directory'!E9</f>
        <v>Directory instantly restores full listing of all pastors, staff, and ministry leads.</v>
      </c>
      <c r="F139" s="25" t="str">
        <f>'About - Directory'!F9</f>
        <v/>
      </c>
      <c r="G139" s="23" t="str">
        <f>'About - Directory'!G9</f>
        <v>Unknown</v>
      </c>
    </row>
    <row r="140" ht="42.0" customHeight="1">
      <c r="A140" s="15" t="str">
        <f>'About - Directory'!A10</f>
        <v>Verify empty state message on unmatched search query</v>
      </c>
      <c r="B140" s="21" t="str">
        <f>'About - Directory'!B10</f>
        <v>Empty State Handling</v>
      </c>
      <c r="C140" s="16" t="str">
        <f>'About - Directory'!C10</f>
        <v>About - Directory</v>
      </c>
      <c r="D140" s="21" t="str">
        <f>'About - Directory'!D10</f>
        <v>Type non-existent name 'Zyxwvut' into directory search box.</v>
      </c>
      <c r="E140" s="21" t="str">
        <f>'About - Directory'!E10</f>
        <v>Directory sections hide and show zero-match empty state without crashing.</v>
      </c>
      <c r="F140" s="21" t="str">
        <f>'About - Directory'!F10</f>
        <v/>
      </c>
      <c r="G140" s="16" t="str">
        <f>'About - Directory'!G10</f>
        <v>Unknown</v>
      </c>
    </row>
    <row r="141" ht="42.0" customHeight="1">
      <c r="A141" s="22" t="str">
        <f>'About - Directory'!A11</f>
        <v>Phone number click-to-call on desktop browser without telephony app</v>
      </c>
      <c r="B141" s="25" t="str">
        <f>'About - Directory'!B11</f>
        <v>Desktop Protocol Handling</v>
      </c>
      <c r="C141" s="23" t="str">
        <f>'About - Directory'!C11</f>
        <v>About - Directory</v>
      </c>
      <c r="D141" s="25" t="str">
        <f>'About - Directory'!D11</f>
        <v>Click church phone link on desktop browser with no VoIP/telephone app configured.</v>
      </c>
      <c r="E141" s="25" t="str">
        <f>'About - Directory'!E11</f>
        <v>Displays prompt to copy phone number to clipboard.</v>
      </c>
      <c r="F141" s="25" t="str">
        <f>'About - Directory'!F11</f>
        <v/>
      </c>
      <c r="G141" s="23" t="str">
        <f>'About - Directory'!G11</f>
        <v>Unknown</v>
      </c>
    </row>
    <row r="142" ht="42.0" customHeight="1">
      <c r="A142" s="15" t="str">
        <f>'About - Connect'!A2</f>
        <v>Click 'Visiting for the first time' pathway card</v>
      </c>
      <c r="B142" s="21" t="str">
        <f>'About - Connect'!B2</f>
        <v>Pathway Navigation</v>
      </c>
      <c r="C142" s="16" t="str">
        <f>'About - Connect'!C2</f>
        <v>About - Connect</v>
      </c>
      <c r="D142" s="21" t="str">
        <f>'About - Connect'!D2</f>
        <v>Click 'Visiting for the first time' feature card.</v>
      </c>
      <c r="E142" s="21" t="str">
        <f>'About - Connect'!E2</f>
        <v>Navigates directly to '#/guests/plan' first-time visitor page.</v>
      </c>
      <c r="F142" s="21" t="str">
        <f>'About - Connect'!F2</f>
        <v/>
      </c>
      <c r="G142" s="16" t="str">
        <f>'About - Connect'!G2</f>
        <v>Unknown</v>
      </c>
    </row>
    <row r="143" ht="42.0" customHeight="1">
      <c r="A143" s="22" t="str">
        <f>'About - Connect'!A3</f>
        <v>Click 'Find a place to serve' pathway card</v>
      </c>
      <c r="B143" s="25" t="str">
        <f>'About - Connect'!B3</f>
        <v>Pathway Navigation</v>
      </c>
      <c r="C143" s="23" t="str">
        <f>'About - Connect'!C3</f>
        <v>About - Connect</v>
      </c>
      <c r="D143" s="25" t="str">
        <f>'About - Connect'!D3</f>
        <v>Click 'Find a place to serve' feature card.</v>
      </c>
      <c r="E143" s="25" t="str">
        <f>'About - Connect'!E3</f>
        <v>Navigates directly to '#/serve/find' volunteer matching page.</v>
      </c>
      <c r="F143" s="25" t="str">
        <f>'About - Connect'!F3</f>
        <v/>
      </c>
      <c r="G143" s="23" t="str">
        <f>'About - Connect'!G3</f>
        <v>Unknown</v>
      </c>
    </row>
    <row r="144" ht="42.0" customHeight="1">
      <c r="A144" s="15" t="str">
        <f>'About - Connect'!A4</f>
        <v>Click 'Come to an event' pathway card</v>
      </c>
      <c r="B144" s="21" t="str">
        <f>'About - Connect'!B4</f>
        <v>Pathway Navigation</v>
      </c>
      <c r="C144" s="16" t="str">
        <f>'About - Connect'!C4</f>
        <v>About - Connect</v>
      </c>
      <c r="D144" s="21" t="str">
        <f>'About - Connect'!D4</f>
        <v>Click 'Come to an event' feature card.</v>
      </c>
      <c r="E144" s="21" t="str">
        <f>'About - Connect'!E4</f>
        <v>Navigates directly to '#/calendar' calendar gatherings page.</v>
      </c>
      <c r="F144" s="21" t="str">
        <f>'About - Connect'!F4</f>
        <v/>
      </c>
      <c r="G144" s="16" t="str">
        <f>'About - Connect'!G4</f>
        <v>Unknown</v>
      </c>
    </row>
    <row r="145" ht="42.0" customHeight="1">
      <c r="A145" s="22" t="str">
        <f>'About - Connect'!A5</f>
        <v>Browse community small groups listing</v>
      </c>
      <c r="B145" s="25" t="str">
        <f>'About - Connect'!B5</f>
        <v>Community Groups</v>
      </c>
      <c r="C145" s="23" t="str">
        <f>'About - Connect'!C5</f>
        <v>About - Connect</v>
      </c>
      <c r="D145" s="25" t="str">
        <f>'About - Connect'!D5</f>
        <v>Inspect 'Groups / Find your people' section on Connect page.</v>
      </c>
      <c r="E145" s="25" t="str">
        <f>'About - Connect'!E5</f>
        <v>Displays active small groups with group name, meeting schedule ('Tuesdays 7pm'), location, and target audience.</v>
      </c>
      <c r="F145" s="25" t="str">
        <f>'About - Connect'!F5</f>
        <v/>
      </c>
      <c r="G145" s="23" t="str">
        <f>'About - Connect'!G5</f>
        <v>Unknown</v>
      </c>
    </row>
    <row r="146" ht="42.0" customHeight="1">
      <c r="A146" s="15" t="str">
        <f>'About - Connect'!A6</f>
        <v>Click external registration link for imported form</v>
      </c>
      <c r="B146" s="21" t="str">
        <f>'About - Connect'!B6</f>
        <v>External Form Integration</v>
      </c>
      <c r="C146" s="16" t="str">
        <f>'About - Connect'!C6</f>
        <v>About - Connect</v>
      </c>
      <c r="D146" s="21" t="str">
        <f>'About - Connect'!D6</f>
        <v>Click on imported sign-up form link (e.g. Church Center / Google Forms).</v>
      </c>
      <c r="E146" s="21" t="str">
        <f>'About - Connect'!E6</f>
        <v>Opens external registration form in a new browser tab with rel='noopener noreferrer'.</v>
      </c>
      <c r="F146" s="21" t="str">
        <f>'About - Connect'!F6</f>
        <v/>
      </c>
      <c r="G146" s="16" t="str">
        <f>'About - Connect'!G6</f>
        <v>Unknown</v>
      </c>
    </row>
    <row r="147" ht="42.0" customHeight="1">
      <c r="A147" s="22" t="str">
        <f>'About - Connect'!A7</f>
        <v>Fill connect inquiry form and select interest topic</v>
      </c>
      <c r="B147" s="25" t="str">
        <f>'About - Connect'!B7</f>
        <v>Lead Capture</v>
      </c>
      <c r="C147" s="23" t="str">
        <f>'About - Connect'!C7</f>
        <v>About - Connect</v>
      </c>
      <c r="D147" s="25" t="str">
        <f>'About - Connect'!D7</f>
        <v>Fill in name 'James Carter', contact 'james@example.org', select interest 'Small groups', type note, and inspect mailto button.</v>
      </c>
      <c r="E147" s="25" t="str">
        <f>'About - Connect'!E7</f>
        <v>Form updates mailto link with encoded subject 'Connecting with Grace Church: Small groups' and body text.</v>
      </c>
      <c r="F147" s="25" t="str">
        <f>'About - Connect'!F7</f>
        <v/>
      </c>
      <c r="G147" s="23" t="str">
        <f>'About - Connect'!G7</f>
        <v>Unknown</v>
      </c>
    </row>
    <row r="148" ht="42.0" customHeight="1">
      <c r="A148" s="15" t="str">
        <f>'About - Connect'!A8</f>
        <v>Validate connect form requires name and church contact email</v>
      </c>
      <c r="B148" s="21" t="str">
        <f>'About - Connect'!B8</f>
        <v>Form Validation</v>
      </c>
      <c r="C148" s="16" t="str">
        <f>'About - Connect'!C8</f>
        <v>About - Connect</v>
      </c>
      <c r="D148" s="21" t="str">
        <f>'About - Connect'!D8</f>
        <v>Leave name input blank and inspect 'Send message' button state.</v>
      </c>
      <c r="E148" s="21" t="str">
        <f>'About - Connect'!E8</f>
        <v>'Send message' button is disabled until a name is entered and church email exists.</v>
      </c>
      <c r="F148" s="21" t="str">
        <f>'About - Connect'!F8</f>
        <v/>
      </c>
      <c r="G148" s="16" t="str">
        <f>'About - Connect'!G8</f>
        <v>Unknown</v>
      </c>
    </row>
    <row r="149" ht="42.0" customHeight="1">
      <c r="A149" s="22" t="str">
        <f>'About - Connect'!A9</f>
        <v>Click 'Ask Tekton' quick link to open sitewide chat modal</v>
      </c>
      <c r="B149" s="25" t="str">
        <f>'About - Connect'!B9</f>
        <v>Assistant Hand-off</v>
      </c>
      <c r="C149" s="23" t="str">
        <f>'About - Connect'!C9</f>
        <v>About - Connect</v>
      </c>
      <c r="D149" s="25" t="str">
        <f>'About - Connect'!D9</f>
        <v>Click 'Ask Tekton' secondary button inside connect block.</v>
      </c>
      <c r="E149" s="25" t="str">
        <f>'About - Connect'!E9</f>
        <v>Opens sitewide chat assistant drawer for immediate interactive conversation.</v>
      </c>
      <c r="F149" s="25" t="str">
        <f>'About - Connect'!F9</f>
        <v/>
      </c>
      <c r="G149" s="23" t="str">
        <f>'About - Connect'!G9</f>
        <v>Unknown</v>
      </c>
    </row>
    <row r="150" ht="42.0" customHeight="1">
      <c r="A150" s="15" t="str">
        <f>'About - Connect'!A10</f>
        <v>Submit connect inquiry expecting server inbox storage</v>
      </c>
      <c r="B150" s="21" t="str">
        <f>'About - Connect'!B10</f>
        <v>Lead Capture Storage</v>
      </c>
      <c r="C150" s="16" t="str">
        <f>'About - Connect'!C10</f>
        <v>About - Connect</v>
      </c>
      <c r="D150" s="21" t="str">
        <f>'About - Connect'!D10</f>
        <v>Fill out connect form and click 'Send message' expecting submission to church database.</v>
      </c>
      <c r="E150" s="21" t="str">
        <f>'About - Connect'!E10</f>
        <v>Submits lead to backend CRM/inbox database.</v>
      </c>
      <c r="F150" s="21" t="str">
        <f>'About - Connect'!F10</f>
        <v/>
      </c>
      <c r="G150" s="16" t="str">
        <f>'About - Connect'!G10</f>
        <v>Unknown</v>
      </c>
    </row>
    <row r="151" ht="42.0" customHeight="1">
      <c r="A151" s="22" t="str">
        <f>'About - Connect'!A11</f>
        <v>Inquiry submission when church contact email is unconfigured</v>
      </c>
      <c r="B151" s="25" t="str">
        <f>'About - Connect'!B11</f>
        <v>Form Validation &amp; Fallback</v>
      </c>
      <c r="C151" s="23" t="str">
        <f>'About - Connect'!C11</f>
        <v>About - Connect</v>
      </c>
      <c r="D151" s="25" t="str">
        <f>'About - Connect'!D11</f>
        <v>Attempt to submit connect form on church where email is unlisted.</v>
      </c>
      <c r="E151" s="25" t="str">
        <f>'About - Connect'!E11</f>
        <v>Form provides alternative contact method or stores lead in database.</v>
      </c>
      <c r="F151" s="25" t="str">
        <f>'About - Connect'!F11</f>
        <v/>
      </c>
      <c r="G151" s="23" t="str">
        <f>'About - Connect'!G11</f>
        <v>Unknown</v>
      </c>
    </row>
    <row r="152" ht="42.0" customHeight="1">
      <c r="A152" s="15" t="str">
        <f>'Admin - Staff'!A2</f>
        <v>Staff authentication with valid email and password</v>
      </c>
      <c r="B152" s="21" t="str">
        <f>'Admin - Staff'!B2</f>
        <v>Staff Authentication</v>
      </c>
      <c r="C152" s="16" t="str">
        <f>'Admin - Staff'!C2</f>
        <v>Admin - Church Staff</v>
      </c>
      <c r="D152" s="21" t="str">
        <f>'Admin - Staff'!D2</f>
        <v>Navigate to '#/staff', enter staff email 'admin@example.org', staff password, and click 'Sign in'.</v>
      </c>
      <c r="E152" s="21" t="str">
        <f>'Admin - Staff'!E2</f>
        <v>Calls /admin/login endpoint, receives verified session token, stores token, and renders Staff Dashboard.</v>
      </c>
      <c r="F152" s="21" t="str">
        <f>'Admin - Staff'!F2</f>
        <v/>
      </c>
      <c r="G152" s="16" t="str">
        <f>'Admin - Staff'!G2</f>
        <v>Unknown</v>
      </c>
    </row>
    <row r="153" ht="42.0" customHeight="1">
      <c r="A153" s="22" t="str">
        <f>'Admin - Staff'!A3</f>
        <v>Display error banner on invalid login credentials</v>
      </c>
      <c r="B153" s="25" t="str">
        <f>'Admin - Staff'!B3</f>
        <v>Authentication Error Handling</v>
      </c>
      <c r="C153" s="23" t="str">
        <f>'Admin - Staff'!C3</f>
        <v>Admin - Church Staff</v>
      </c>
      <c r="D153" s="25" t="str">
        <f>'Admin - Staff'!D3</f>
        <v>Enter wrong password and click 'Sign in'.</v>
      </c>
      <c r="E153" s="25" t="str">
        <f>'Admin - Staff'!E3</f>
        <v>Form remains on screen; displays error banner 'Invalid password. Please check and try again.'</v>
      </c>
      <c r="F153" s="25" t="str">
        <f>'Admin - Staff'!F3</f>
        <v/>
      </c>
      <c r="G153" s="23" t="str">
        <f>'Admin - Staff'!G3</f>
        <v>Unknown</v>
      </c>
    </row>
    <row r="154" ht="42.0" customHeight="1">
      <c r="A154" s="15" t="str">
        <f>'Admin - Staff'!A4</f>
        <v>Connect Stripe account button redirection</v>
      </c>
      <c r="B154" s="21" t="str">
        <f>'Admin - Staff'!B4</f>
        <v>Stripe Onboarding</v>
      </c>
      <c r="C154" s="16" t="str">
        <f>'Admin - Staff'!C4</f>
        <v>Admin - Church Staff</v>
      </c>
      <c r="D154" s="21" t="str">
        <f>'Admin - Staff'!D4</f>
        <v>On Overview tab, click 'Connect Stripe' onboarding button.</v>
      </c>
      <c r="E154" s="21" t="str">
        <f>'Admin - Staff'!E4</f>
        <v>Calls /admin/stripe/connect endpoint and redirects to Stripe Connect OAuth flow.</v>
      </c>
      <c r="F154" s="21" t="str">
        <f>'Admin - Staff'!F4</f>
        <v/>
      </c>
      <c r="G154" s="16" t="str">
        <f>'Admin - Staff'!G4</f>
        <v>Unknown</v>
      </c>
    </row>
    <row r="155" ht="42.0" customHeight="1">
      <c r="A155" s="22" t="str">
        <f>'Admin - Staff'!A5</f>
        <v>Create a new church fund with fundraising dollar goal</v>
      </c>
      <c r="B155" s="25" t="str">
        <f>'Admin - Staff'!B5</f>
        <v>Fund Management</v>
      </c>
      <c r="C155" s="23" t="str">
        <f>'Admin - Staff'!C5</f>
        <v>Admin - Church Staff</v>
      </c>
      <c r="D155" s="25" t="str">
        <f>'Admin - Staff'!D5</f>
        <v>On 'Funds &amp; trips' tab, click '+ Add fund', enter name 'Roof Repair', goal '15000', and click Save.</v>
      </c>
      <c r="E155" s="25" t="str">
        <f>'Admin - Staff'!E5</f>
        <v>Calls POST /admin/funds; adds new fund to active funds list and makes available on Give page.</v>
      </c>
      <c r="F155" s="25" t="str">
        <f>'Admin - Staff'!F5</f>
        <v/>
      </c>
      <c r="G155" s="23" t="str">
        <f>'Admin - Staff'!G5</f>
        <v>Unknown</v>
      </c>
    </row>
    <row r="156" ht="42.0" customHeight="1">
      <c r="A156" s="15" t="str">
        <f>'Admin - Staff'!A6</f>
        <v>Create a new mission trip with dates and target budget</v>
      </c>
      <c r="B156" s="21" t="str">
        <f>'Admin - Staff'!B6</f>
        <v>Mission Trip Creation</v>
      </c>
      <c r="C156" s="16" t="str">
        <f>'Admin - Staff'!C6</f>
        <v>Admin - Church Staff</v>
      </c>
      <c r="D156" s="21" t="str">
        <f>'Admin - Staff'!D6</f>
        <v>Click '+ Add trip', enter destination 'Honduras', departure date, return date, cost '$1,800', and submit.</v>
      </c>
      <c r="E156" s="21" t="str">
        <f>'Admin - Staff'!E6</f>
        <v>Calls POST /admin/trips; creates mission trip entity; publishes card on '#/give/trips'.</v>
      </c>
      <c r="F156" s="21" t="str">
        <f>'Admin - Staff'!F6</f>
        <v/>
      </c>
      <c r="G156" s="16" t="str">
        <f>'Admin - Staff'!G6</f>
        <v>Unknown</v>
      </c>
    </row>
    <row r="157" ht="42.0" customHeight="1">
      <c r="A157" s="22" t="str">
        <f>'Admin - Staff'!A7</f>
        <v>Review and approve volunteer mission trip application</v>
      </c>
      <c r="B157" s="25" t="str">
        <f>'Admin - Staff'!B7</f>
        <v>Application Review</v>
      </c>
      <c r="C157" s="23" t="str">
        <f>'Admin - Staff'!C7</f>
        <v>Admin - Church Staff</v>
      </c>
      <c r="D157" s="25" t="str">
        <f>'Admin - Staff'!D7</f>
        <v>On 'Applications' tab, click 'Approve' on applicant 'David Lee' for Honduras trip.</v>
      </c>
      <c r="E157" s="25" t="str">
        <f>'Admin - Staff'!E7</f>
        <v>Calls PATCH /admin/applications/:id with status 'approved'; updates applicant badge to Approved.</v>
      </c>
      <c r="F157" s="25" t="str">
        <f>'Admin - Staff'!F7</f>
        <v/>
      </c>
      <c r="G157" s="23" t="str">
        <f>'Admin - Staff'!G7</f>
        <v>Unknown</v>
      </c>
    </row>
    <row r="158" ht="42.0" customHeight="1">
      <c r="A158" s="15" t="str">
        <f>'Admin - Staff'!A8</f>
        <v>View confidential donor gifts ledger table</v>
      </c>
      <c r="B158" s="21" t="str">
        <f>'Admin - Staff'!B8</f>
        <v>Gifts Ledger</v>
      </c>
      <c r="C158" s="16" t="str">
        <f>'Admin - Staff'!C8</f>
        <v>Admin - Church Staff</v>
      </c>
      <c r="D158" s="21" t="str">
        <f>'Admin - Staff'!D8</f>
        <v>Click 'Gifts' tab in staff dashboard navigation.</v>
      </c>
      <c r="E158" s="21" t="str">
        <f>'Admin - Staff'!E8</f>
        <v>Renders secure gifts table showing donor names, emails, funds, amounts, timestamps, and Stripe charge IDs.</v>
      </c>
      <c r="F158" s="21" t="str">
        <f>'Admin - Staff'!F8</f>
        <v/>
      </c>
      <c r="G158" s="16" t="str">
        <f>'Admin - Staff'!G8</f>
        <v>Unknown</v>
      </c>
    </row>
    <row r="159" ht="42.0" customHeight="1">
      <c r="A159" s="22" t="str">
        <f>'Admin - Staff'!A9</f>
        <v>Sign out of staff session and return to visitor view</v>
      </c>
      <c r="B159" s="25" t="str">
        <f>'Admin - Staff'!B9</f>
        <v>Session Termination</v>
      </c>
      <c r="C159" s="23" t="str">
        <f>'Admin - Staff'!C9</f>
        <v>Admin - Church Staff</v>
      </c>
      <c r="D159" s="25" t="str">
        <f>'Admin - Staff'!D9</f>
        <v>Click 'Sign out' button in staff dashboard header.</v>
      </c>
      <c r="E159" s="25" t="str">
        <f>'Admin - Staff'!E9</f>
        <v>Calls /admin/logout, purges staff session token from storage, and returns UI to visitor browsing mode.</v>
      </c>
      <c r="F159" s="25" t="str">
        <f>'Admin - Staff'!F9</f>
        <v/>
      </c>
      <c r="G159" s="23" t="str">
        <f>'Admin - Staff'!G9</f>
        <v>Unknown</v>
      </c>
    </row>
    <row r="160" ht="42.0" customHeight="1">
      <c r="A160" s="15" t="str">
        <f>'Admin - Staff'!A10</f>
        <v>Staff session verification during giving microservice outage</v>
      </c>
      <c r="B160" s="21" t="str">
        <f>'Admin - Staff'!B10</f>
        <v>Microservice Dependency</v>
      </c>
      <c r="C160" s="16" t="str">
        <f>'Admin - Staff'!C10</f>
        <v>Admin - Church Staff</v>
      </c>
      <c r="D160" s="21" t="str">
        <f>'Admin - Staff'!D10</f>
        <v>Sign in as staff when giving service is temporarily unreachable.</v>
      </c>
      <c r="E160" s="21" t="str">
        <f>'Admin - Staff'!E10</f>
        <v>Displays cached offline staff view or retry countdown.</v>
      </c>
      <c r="F160" s="21" t="str">
        <f>'Admin - Staff'!F10</f>
        <v/>
      </c>
      <c r="G160" s="16" t="str">
        <f>'Admin - Staff'!G10</f>
        <v>Unknown</v>
      </c>
    </row>
    <row r="161" ht="42.0" customHeight="1">
      <c r="A161" s="22" t="str">
        <f>'Admin - Staff'!A11</f>
        <v>Invite staff member with duplicate email address</v>
      </c>
      <c r="B161" s="25" t="str">
        <f>'Admin - Staff'!B11</f>
        <v>Error Handling</v>
      </c>
      <c r="C161" s="23" t="str">
        <f>'Admin - Staff'!C11</f>
        <v>Admin - Church Staff</v>
      </c>
      <c r="D161" s="25" t="str">
        <f>'Admin - Staff'!D11</f>
        <v>Invite an email that is already registered as a staff member.</v>
      </c>
      <c r="E161" s="25" t="str">
        <f>'Admin - Staff'!E11</f>
        <v>Displays inline error stating user already exists in team.</v>
      </c>
      <c r="F161" s="25" t="str">
        <f>'Admin - Staff'!F11</f>
        <v/>
      </c>
      <c r="G161" s="23" t="str">
        <f>'Admin - Staff'!G11</f>
        <v>Unknown</v>
      </c>
    </row>
    <row r="162" ht="42.0" customHeight="1">
      <c r="A162" s="15" t="str">
        <f>'Admin - Setup'!A2</f>
        <v>Update church display name and city in Church Setup</v>
      </c>
      <c r="B162" s="21" t="str">
        <f>'Admin - Setup'!B2</f>
        <v>Branding Settings</v>
      </c>
      <c r="C162" s="16" t="str">
        <f>'Admin - Setup'!C2</f>
        <v>Admin - Church Setup</v>
      </c>
      <c r="D162" s="21" t="str">
        <f>'Admin - Setup'!D2</f>
        <v>Sign in to '#/setup', change church name to 'Grace Fellowship Church', city to 'Denver, CO', and click 'Save changes'.</v>
      </c>
      <c r="E162" s="21" t="str">
        <f>'Admin - Setup'!E2</f>
        <v>Calls PUT /api/church/content with updated details; updates document title and header church name.</v>
      </c>
      <c r="F162" s="21" t="str">
        <f>'Admin - Setup'!F2</f>
        <v/>
      </c>
      <c r="G162" s="16" t="str">
        <f>'Admin - Setup'!G2</f>
        <v>Unknown</v>
      </c>
    </row>
    <row r="163" ht="42.0" customHeight="1">
      <c r="A163" s="22" t="str">
        <f>'Admin - Setup'!A3</f>
        <v>Update church phone number and primary office email</v>
      </c>
      <c r="B163" s="25" t="str">
        <f>'Admin - Setup'!B3</f>
        <v>Contact Info Management</v>
      </c>
      <c r="C163" s="23" t="str">
        <f>'Admin - Setup'!C3</f>
        <v>Admin - Church Setup</v>
      </c>
      <c r="D163" s="25" t="str">
        <f>'Admin - Setup'!D3</f>
        <v>Change church phone to '(555) 019-3322' and email to 'hello@gracechurch.org', and save.</v>
      </c>
      <c r="E163" s="25" t="str">
        <f>'Admin - Setup'!E3</f>
        <v>Updates stored church contact facts; reflected across footer, directory, and contact blocks.</v>
      </c>
      <c r="F163" s="25" t="str">
        <f>'Admin - Setup'!F3</f>
        <v/>
      </c>
      <c r="G163" s="23" t="str">
        <f>'Admin - Setup'!G3</f>
        <v>Unknown</v>
      </c>
    </row>
    <row r="164" ht="42.0" customHeight="1">
      <c r="A164" s="15" t="str">
        <f>'Admin - Setup'!A4</f>
        <v>Set physical street address and weekly office hours</v>
      </c>
      <c r="B164" s="21" t="str">
        <f>'Admin - Setup'!B4</f>
        <v>Facility Details</v>
      </c>
      <c r="C164" s="16" t="str">
        <f>'Admin - Setup'!C4</f>
        <v>Admin - Church Setup</v>
      </c>
      <c r="D164" s="21" t="str">
        <f>'Admin - Setup'!D4</f>
        <v>Update street address to '500 Mountain View Rd' and office hours to 'Tue-Fri 9am-3pm', and save.</v>
      </c>
      <c r="E164" s="21" t="str">
        <f>'Admin - Setup'!E4</f>
        <v>Updates facility details; updates Google Maps directions links sitewide.</v>
      </c>
      <c r="F164" s="21" t="str">
        <f>'Admin - Setup'!F4</f>
        <v/>
      </c>
      <c r="G164" s="16" t="str">
        <f>'Admin - Setup'!G4</f>
        <v>Unknown</v>
      </c>
    </row>
    <row r="165" ht="42.0" customHeight="1">
      <c r="A165" s="22" t="str">
        <f>'Admin - Setup'!A5</f>
        <v>Add new weekly worship service time slot</v>
      </c>
      <c r="B165" s="25" t="str">
        <f>'Admin - Setup'!B5</f>
        <v>Service Times Configuration</v>
      </c>
      <c r="C165" s="23" t="str">
        <f>'Admin - Setup'!C5</f>
        <v>Admin - Church Setup</v>
      </c>
      <c r="D165" s="25" t="str">
        <f>'Admin - Setup'!D5</f>
        <v>Click '+ Add service time', select day 'Sunday', time '5:00 PM', description 'Evening Worship', and click Save.</v>
      </c>
      <c r="E165" s="25" t="str">
        <f>'Admin - Setup'!E5</f>
        <v>Adds service slot to church info services array; visible on Home and Plan Your Visit service dropdowns.</v>
      </c>
      <c r="F165" s="25" t="str">
        <f>'Admin - Setup'!F5</f>
        <v/>
      </c>
      <c r="G165" s="23" t="str">
        <f>'Admin - Setup'!G5</f>
        <v>Unknown</v>
      </c>
    </row>
    <row r="166" ht="42.0" customHeight="1">
      <c r="A166" s="15" t="str">
        <f>'Admin - Setup'!A6</f>
        <v>Remove outdated worship service time slot</v>
      </c>
      <c r="B166" s="21" t="str">
        <f>'Admin - Setup'!B6</f>
        <v>Service Times Configuration</v>
      </c>
      <c r="C166" s="16" t="str">
        <f>'Admin - Setup'!C6</f>
        <v>Admin - Church Setup</v>
      </c>
      <c r="D166" s="21" t="str">
        <f>'Admin - Setup'!D6</f>
        <v>Click 'Remove' trash button on Wednesday 6:30 PM service slot and save.</v>
      </c>
      <c r="E166" s="21" t="str">
        <f>'Admin - Setup'!E6</f>
        <v>Deletes service item from services list; removed from public site schedule.</v>
      </c>
      <c r="F166" s="21" t="str">
        <f>'Admin - Setup'!F6</f>
        <v/>
      </c>
      <c r="G166" s="16" t="str">
        <f>'Admin - Setup'!G6</f>
        <v>Unknown</v>
      </c>
    </row>
    <row r="167" ht="42.0" customHeight="1">
      <c r="A167" s="22" t="str">
        <f>'Admin - Setup'!A7</f>
        <v>Add new frequently asked question (FAQ) and response</v>
      </c>
      <c r="B167" s="25" t="str">
        <f>'Admin - Setup'!B7</f>
        <v>FAQ Management</v>
      </c>
      <c r="C167" s="23" t="str">
        <f>'Admin - Setup'!C7</f>
        <v>Admin - Church Setup</v>
      </c>
      <c r="D167" s="25" t="str">
        <f>'Admin - Setup'!D7</f>
        <v>Click '+ Add FAQ', enter question 'Is there childcare available?', enter answer 'Yes, for ages 0-5', and save.</v>
      </c>
      <c r="E167" s="25" t="str">
        <f>'Admin - Setup'!E7</f>
        <v>Appends FAQ item to church faqs array; renders in accordion on Plan Your Visit page.</v>
      </c>
      <c r="F167" s="25" t="str">
        <f>'Admin - Setup'!F7</f>
        <v/>
      </c>
      <c r="G167" s="23" t="str">
        <f>'Admin - Setup'!G7</f>
        <v>Unknown</v>
      </c>
    </row>
    <row r="168" ht="42.0" customHeight="1">
      <c r="A168" s="15" t="str">
        <f>'Admin - Setup'!A8</f>
        <v>Create a new serving ministry team with team lead</v>
      </c>
      <c r="B168" s="21" t="str">
        <f>'Admin - Setup'!B8</f>
        <v>Ministry Provisioning</v>
      </c>
      <c r="C168" s="16" t="str">
        <f>'Admin - Setup'!C8</f>
        <v>Admin - Church Setup</v>
      </c>
      <c r="D168" s="21" t="str">
        <f>'Admin - Setup'!D8</f>
        <v>Click '+ Add ministry', enter name 'Hospitality Greeters', lead 'Laura Bailey', category 'Hospitality', and save.</v>
      </c>
      <c r="E168" s="21" t="str">
        <f>'Admin - Setup'!E8</f>
        <v>Calls PUT /api/church/content with new ministry item; ministry appears on Serve page.</v>
      </c>
      <c r="F168" s="21" t="str">
        <f>'Admin - Setup'!F8</f>
        <v/>
      </c>
      <c r="G168" s="16" t="str">
        <f>'Admin - Setup'!G8</f>
        <v>Unknown</v>
      </c>
    </row>
    <row r="169" ht="42.0" customHeight="1">
      <c r="A169" s="22" t="str">
        <f>'Admin - Setup'!A9</f>
        <v>Select partner mission countries for Prayer Map display</v>
      </c>
      <c r="B169" s="25" t="str">
        <f>'Admin - Setup'!B9</f>
        <v>Prayer Map Configuration</v>
      </c>
      <c r="C169" s="23" t="str">
        <f>'Admin - Setup'!C9</f>
        <v>Admin - Church Setup</v>
      </c>
      <c r="D169" s="25" t="str">
        <f>'Admin - Setup'!D9</f>
        <v>Check partner countries 'Brazil', 'Japan', and 'Uganda' in the mission regions multi-select list and save.</v>
      </c>
      <c r="E169" s="25" t="str">
        <f>'Admin - Setup'!E9</f>
        <v>Updates supported country codes; Prayer Map highlights selected countries with border overlays.</v>
      </c>
      <c r="F169" s="25" t="str">
        <f>'Admin - Setup'!F9</f>
        <v/>
      </c>
      <c r="G169" s="23" t="str">
        <f>'Admin - Setup'!G9</f>
        <v>Unknown</v>
      </c>
    </row>
    <row r="170" ht="42.0" customHeight="1">
      <c r="A170" s="15" t="str">
        <f>'Admin - Setup'!A10</f>
        <v>Enforce sign-in prompt when unauthenticated user accesses setup</v>
      </c>
      <c r="B170" s="21" t="str">
        <f>'Admin - Setup'!B10</f>
        <v>Access Protection</v>
      </c>
      <c r="C170" s="16" t="str">
        <f>'Admin - Setup'!C10</f>
        <v>Admin - Church Setup</v>
      </c>
      <c r="D170" s="21" t="str">
        <f>'Admin - Setup'!D10</f>
        <v>Navigate to '#/setup' while signed out.</v>
      </c>
      <c r="E170" s="21" t="str">
        <f>'Admin - Setup'!E10</f>
        <v>Setup forms are hidden; displays StaffSignIn form with email and password inputs.</v>
      </c>
      <c r="F170" s="21" t="str">
        <f>'Admin - Setup'!F10</f>
        <v/>
      </c>
      <c r="G170" s="16" t="str">
        <f>'Admin - Setup'!G10</f>
        <v>Unknown</v>
      </c>
    </row>
    <row r="171" ht="42.0" customHeight="1">
      <c r="A171" s="22" t="str">
        <f>'Admin - Setup'!A11</f>
        <v>Concurrent setup updates overwritten without conflict resolution</v>
      </c>
      <c r="B171" s="25" t="str">
        <f>'Admin - Setup'!B11</f>
        <v>Concurrency &amp; Locking</v>
      </c>
      <c r="C171" s="23" t="str">
        <f>'Admin - Setup'!C11</f>
        <v>Admin - Church Setup</v>
      </c>
      <c r="D171" s="25" t="str">
        <f>'Admin - Setup'!D11</f>
        <v>Two staff administrators edit church service times simultaneously from separate laptops.</v>
      </c>
      <c r="E171" s="25" t="str">
        <f>'Admin - Setup'!E11</f>
        <v>System detects concurrent modification and flags conflict.</v>
      </c>
      <c r="F171" s="25" t="str">
        <f>'Admin - Setup'!F11</f>
        <v/>
      </c>
      <c r="G171" s="23" t="str">
        <f>'Admin - Setup'!G11</f>
        <v>Unknown</v>
      </c>
    </row>
    <row r="172" ht="42.0" customHeight="1">
      <c r="A172" s="15" t="str">
        <f>'Sitewide Chat'!A2</f>
        <v>Open chat widget by clicking floating action button</v>
      </c>
      <c r="B172" s="21" t="str">
        <f>'Sitewide Chat'!B2</f>
        <v>Chat Activation</v>
      </c>
      <c r="C172" s="16" t="str">
        <f>'Sitewide Chat'!C2</f>
        <v>Sitewide Chat (Ask Tekton)</v>
      </c>
      <c r="D172" s="21" t="str">
        <f>'Sitewide Chat'!D2</f>
        <v>Click floating 'Ask Tekton' sparkle button in bottom-right corner.</v>
      </c>
      <c r="E172" s="21" t="str">
        <f>'Sitewide Chat'!E2</f>
        <v>Chat panel slides open smoothly; displays greeting message and quick starter prompts.</v>
      </c>
      <c r="F172" s="21" t="str">
        <f>'Sitewide Chat'!F2</f>
        <v/>
      </c>
      <c r="G172" s="16" t="str">
        <f>'Sitewide Chat'!G2</f>
        <v>Unknown</v>
      </c>
    </row>
    <row r="173" ht="42.0" customHeight="1">
      <c r="A173" s="22" t="str">
        <f>'Sitewide Chat'!A3</f>
        <v>Click starter prompt 'When are services?'</v>
      </c>
      <c r="B173" s="25" t="str">
        <f>'Sitewide Chat'!B3</f>
        <v>Quick Starter Prompts</v>
      </c>
      <c r="C173" s="23" t="str">
        <f>'Sitewide Chat'!C3</f>
        <v>Sitewide Chat (Ask Tekton)</v>
      </c>
      <c r="D173" s="25" t="str">
        <f>'Sitewide Chat'!D3</f>
        <v>Click prompt pill 'When are services?' above chat input.</v>
      </c>
      <c r="E173" s="25" t="str">
        <f>'Sitewide Chat'!E3</f>
        <v>Submits query to /chat; assistant replies with accurate Sunday and midweek gathering times.</v>
      </c>
      <c r="F173" s="25" t="str">
        <f>'Sitewide Chat'!F3</f>
        <v/>
      </c>
      <c r="G173" s="23" t="str">
        <f>'Sitewide Chat'!G3</f>
        <v>Unknown</v>
      </c>
    </row>
    <row r="174" ht="42.0" customHeight="1">
      <c r="A174" s="15" t="str">
        <f>'Sitewide Chat'!A4</f>
        <v>Inquire about upcoming gatherings and events</v>
      </c>
      <c r="B174" s="21" t="str">
        <f>'Sitewide Chat'!B4</f>
        <v>Gathering Inquiries</v>
      </c>
      <c r="C174" s="16" t="str">
        <f>'Sitewide Chat'!C4</f>
        <v>Sitewide Chat (Ask Tekton)</v>
      </c>
      <c r="D174" s="21" t="str">
        <f>'Sitewide Chat'!D4</f>
        <v>Type 'What events are happening this week?' and hit Enter.</v>
      </c>
      <c r="E174" s="21" t="str">
        <f>'Sitewide Chat'!E4</f>
        <v>Assistant queries calendar data and returns scheduled gatherings with dates and times.</v>
      </c>
      <c r="F174" s="21" t="str">
        <f>'Sitewide Chat'!F4</f>
        <v/>
      </c>
      <c r="G174" s="16" t="str">
        <f>'Sitewide Chat'!G4</f>
        <v>Unknown</v>
      </c>
    </row>
    <row r="175" ht="42.0" customHeight="1">
      <c r="A175" s="22" t="str">
        <f>'Sitewide Chat'!A5</f>
        <v>Ask volunteer question 'How can I get involved?'</v>
      </c>
      <c r="B175" s="25" t="str">
        <f>'Sitewide Chat'!B5</f>
        <v>Volunteer Guidance</v>
      </c>
      <c r="C175" s="23" t="str">
        <f>'Sitewide Chat'!C5</f>
        <v>Sitewide Chat (Ask Tekton)</v>
      </c>
      <c r="D175" s="25" t="str">
        <f>'Sitewide Chat'!D5</f>
        <v>Type 'How can I get involved in serving?' and send.</v>
      </c>
      <c r="E175" s="25" t="str">
        <f>'Sitewide Chat'!E5</f>
        <v>Assistant explains serving opportunities and provides interactive suggestion link to Serve page.</v>
      </c>
      <c r="F175" s="25" t="str">
        <f>'Sitewide Chat'!F5</f>
        <v/>
      </c>
      <c r="G175" s="23" t="str">
        <f>'Sitewide Chat'!G5</f>
        <v>Unknown</v>
      </c>
    </row>
    <row r="176" ht="42.0" customHeight="1">
      <c r="A176" s="15" t="str">
        <f>'Sitewide Chat'!A6</f>
        <v>Click inline chat navigation link to jump to Plan Your Visit</v>
      </c>
      <c r="B176" s="21" t="str">
        <f>'Sitewide Chat'!B6</f>
        <v>In-Chat Deep Linking</v>
      </c>
      <c r="C176" s="16" t="str">
        <f>'Sitewide Chat'!C6</f>
        <v>Sitewide Chat (Ask Tekton)</v>
      </c>
      <c r="D176" s="21" t="str">
        <f>'Sitewide Chat'!D6</f>
        <v>Click assistant's suggested action button 'Plan your visit'.</v>
      </c>
      <c r="E176" s="21" t="str">
        <f>'Sitewide Chat'!E6</f>
        <v>Chat closes and app navigates directly to '#/guests/plan' with focus on visit form.</v>
      </c>
      <c r="F176" s="21" t="str">
        <f>'Sitewide Chat'!F6</f>
        <v/>
      </c>
      <c r="G176" s="16" t="str">
        <f>'Sitewide Chat'!G6</f>
        <v>Unknown</v>
      </c>
    </row>
    <row r="177" ht="42.0" customHeight="1">
      <c r="A177" s="22" t="str">
        <f>'Sitewide Chat'!A7</f>
        <v>Submit pastoral prayer request with contact details</v>
      </c>
      <c r="B177" s="25" t="str">
        <f>'Sitewide Chat'!B7</f>
        <v>Prayer Request Filing</v>
      </c>
      <c r="C177" s="23" t="str">
        <f>'Sitewide Chat'!C7</f>
        <v>Sitewide Chat (Ask Tekton)</v>
      </c>
      <c r="D177" s="25" t="str">
        <f>'Sitewide Chat'!D7</f>
        <v>Type 'Please pray for my mother recovering from surgery. My email is mary@example.org' and send.</v>
      </c>
      <c r="E177" s="25" t="str">
        <f>'Sitewide Chat'!E7</f>
        <v>Assistant detects care request, files connection request via action 'hand_off_to_staff', and confirms request saved.</v>
      </c>
      <c r="F177" s="25" t="str">
        <f>'Sitewide Chat'!F7</f>
        <v/>
      </c>
      <c r="G177" s="23" t="str">
        <f>'Sitewide Chat'!G7</f>
        <v>Unknown</v>
      </c>
    </row>
    <row r="178" ht="42.0" customHeight="1">
      <c r="A178" s="15" t="str">
        <f>'Sitewide Chat'!A8</f>
        <v>Instant staff queue notification for filed prayer request</v>
      </c>
      <c r="B178" s="21" t="str">
        <f>'Sitewide Chat'!B8</f>
        <v>Staff Notification Handoff</v>
      </c>
      <c r="C178" s="16" t="str">
        <f>'Sitewide Chat'!C8</f>
        <v>Sitewide Chat (Ask Tekton)</v>
      </c>
      <c r="D178" s="21" t="str">
        <f>'Sitewide Chat'!D8</f>
        <v>Observe staff navigation badge immediately after filing prayer request.</v>
      </c>
      <c r="E178" s="21" t="str">
        <f>'Sitewide Chat'!E8</f>
        <v>onRequestFiled callback fires; staff navigation badge count increments by 1 instantly.</v>
      </c>
      <c r="F178" s="21" t="str">
        <f>'Sitewide Chat'!F8</f>
        <v/>
      </c>
      <c r="G178" s="16" t="str">
        <f>'Sitewide Chat'!G8</f>
        <v>Unknown</v>
      </c>
    </row>
    <row r="179" ht="42.0" customHeight="1">
      <c r="A179" s="22" t="str">
        <f>'Sitewide Chat'!A9</f>
        <v>Multi-turn conversation context retention</v>
      </c>
      <c r="B179" s="25" t="str">
        <f>'Sitewide Chat'!B9</f>
        <v>Session Context Retention</v>
      </c>
      <c r="C179" s="23" t="str">
        <f>'Sitewide Chat'!C9</f>
        <v>Sitewide Chat (Ask Tekton)</v>
      </c>
      <c r="D179" s="25" t="str">
        <f>'Sitewide Chat'!D9</f>
        <v>Ask 'Where is the church located?' followed by 'Is there parking there?'.</v>
      </c>
      <c r="E179" s="25" t="str">
        <f>'Sitewide Chat'!E9</f>
        <v>Assistant recalls previous reference to church address and answers parking question in context.</v>
      </c>
      <c r="F179" s="25" t="str">
        <f>'Sitewide Chat'!F9</f>
        <v/>
      </c>
      <c r="G179" s="23" t="str">
        <f>'Sitewide Chat'!G9</f>
        <v>Unknown</v>
      </c>
    </row>
    <row r="180" ht="42.0" customHeight="1">
      <c r="A180" s="15" t="str">
        <f>'Sitewide Chat'!A10</f>
        <v>Complex theological inquiry when AI service is in demo mode</v>
      </c>
      <c r="B180" s="21" t="str">
        <f>'Sitewide Chat'!B10</f>
        <v>AI Demo Fallback</v>
      </c>
      <c r="C180" s="16" t="str">
        <f>'Sitewide Chat'!C10</f>
        <v>Sitewide Chat (Ask Tekton)</v>
      </c>
      <c r="D180" s="21" t="str">
        <f>'Sitewide Chat'!D10</f>
        <v>Ask chat assistant 'What is the church's view on eschatology and the millennium?' when LLM is unconfigured.</v>
      </c>
      <c r="E180" s="21" t="str">
        <f>'Sitewide Chat'!E10</f>
        <v>Provides helpful theological overview based on church doctrine.</v>
      </c>
      <c r="F180" s="21" t="str">
        <f>'Sitewide Chat'!F10</f>
        <v/>
      </c>
      <c r="G180" s="16" t="str">
        <f>'Sitewide Chat'!G10</f>
        <v>Unknown</v>
      </c>
    </row>
    <row r="181" ht="42.0" customHeight="1">
      <c r="A181" s="22" t="str">
        <f>'Sitewide Chat'!A11</f>
        <v>Prayer request filing without valid contact info provided</v>
      </c>
      <c r="B181" s="25" t="str">
        <f>'Sitewide Chat'!B11</f>
        <v>Input Validation</v>
      </c>
      <c r="C181" s="23" t="str">
        <f>'Sitewide Chat'!C11</f>
        <v>Sitewide Chat (Ask Tekton)</v>
      </c>
      <c r="D181" s="25" t="str">
        <f>'Sitewide Chat'!D11</f>
        <v>In chat, say 'Please pray for me' and close chat before providing name or contact.</v>
      </c>
      <c r="E181" s="25" t="str">
        <f>'Sitewide Chat'!E11</f>
        <v>Assistant prompts user for name/contact before filing request.</v>
      </c>
      <c r="F181" s="25" t="str">
        <f>'Sitewide Chat'!F11</f>
        <v/>
      </c>
      <c r="G181" s="23" t="str">
        <f>'Sitewide Chat'!G11</f>
        <v>Unknown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81"/>
  <conditionalFormatting sqref="G2:G181">
    <cfRule type="cellIs" dxfId="0" priority="1" operator="equal">
      <formula>"Pass"</formula>
    </cfRule>
  </conditionalFormatting>
  <conditionalFormatting sqref="G2:G181">
    <cfRule type="cellIs" dxfId="1" priority="2" operator="equal">
      <formula>"Fail"</formula>
    </cfRule>
  </conditionalFormatting>
  <conditionalFormatting sqref="G2:G181">
    <cfRule type="cellIs" dxfId="2" priority="3" operator="equal">
      <formula>"Unknown"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77</v>
      </c>
      <c r="B2" s="21" t="s">
        <v>78</v>
      </c>
      <c r="C2" s="16" t="s">
        <v>79</v>
      </c>
      <c r="D2" s="21" t="s">
        <v>80</v>
      </c>
      <c r="E2" s="21" t="s">
        <v>81</v>
      </c>
      <c r="F2" s="21"/>
      <c r="G2" s="33" t="s">
        <v>82</v>
      </c>
    </row>
    <row r="3" ht="42.0" customHeight="1">
      <c r="A3" s="22" t="s">
        <v>83</v>
      </c>
      <c r="B3" s="25" t="s">
        <v>84</v>
      </c>
      <c r="C3" s="23" t="s">
        <v>79</v>
      </c>
      <c r="D3" s="25" t="s">
        <v>85</v>
      </c>
      <c r="E3" s="25" t="s">
        <v>86</v>
      </c>
      <c r="F3" s="21"/>
      <c r="G3" s="33" t="s">
        <v>82</v>
      </c>
    </row>
    <row r="4" ht="42.0" customHeight="1">
      <c r="A4" s="15" t="s">
        <v>87</v>
      </c>
      <c r="B4" s="21" t="s">
        <v>88</v>
      </c>
      <c r="C4" s="16" t="s">
        <v>79</v>
      </c>
      <c r="D4" s="21" t="s">
        <v>89</v>
      </c>
      <c r="E4" s="21" t="s">
        <v>90</v>
      </c>
      <c r="F4" s="21"/>
      <c r="G4" s="19" t="s">
        <v>82</v>
      </c>
    </row>
    <row r="5" ht="42.0" customHeight="1">
      <c r="A5" s="22" t="s">
        <v>91</v>
      </c>
      <c r="B5" s="25" t="s">
        <v>84</v>
      </c>
      <c r="C5" s="23" t="s">
        <v>79</v>
      </c>
      <c r="D5" s="25" t="s">
        <v>92</v>
      </c>
      <c r="E5" s="25" t="s">
        <v>93</v>
      </c>
      <c r="F5" s="21"/>
      <c r="G5" s="19" t="s">
        <v>82</v>
      </c>
    </row>
    <row r="6" ht="42.0" customHeight="1">
      <c r="A6" s="15" t="s">
        <v>94</v>
      </c>
      <c r="B6" s="21" t="s">
        <v>95</v>
      </c>
      <c r="C6" s="16" t="s">
        <v>79</v>
      </c>
      <c r="D6" s="21" t="s">
        <v>96</v>
      </c>
      <c r="E6" s="21" t="s">
        <v>97</v>
      </c>
      <c r="F6" s="21"/>
      <c r="G6" s="19" t="s">
        <v>82</v>
      </c>
    </row>
    <row r="7" ht="42.0" customHeight="1">
      <c r="A7" s="22" t="s">
        <v>98</v>
      </c>
      <c r="B7" s="25" t="s">
        <v>99</v>
      </c>
      <c r="C7" s="23" t="s">
        <v>79</v>
      </c>
      <c r="D7" s="25" t="s">
        <v>100</v>
      </c>
      <c r="E7" s="25" t="s">
        <v>101</v>
      </c>
      <c r="F7" s="21"/>
      <c r="G7" s="19" t="s">
        <v>82</v>
      </c>
    </row>
    <row r="8" ht="42.0" customHeight="1">
      <c r="A8" s="15" t="s">
        <v>102</v>
      </c>
      <c r="B8" s="21" t="s">
        <v>103</v>
      </c>
      <c r="C8" s="16" t="s">
        <v>79</v>
      </c>
      <c r="D8" s="21" t="s">
        <v>104</v>
      </c>
      <c r="E8" s="21" t="s">
        <v>105</v>
      </c>
      <c r="F8" s="21"/>
      <c r="G8" s="19" t="s">
        <v>82</v>
      </c>
    </row>
    <row r="9" ht="42.0" customHeight="1">
      <c r="A9" s="22" t="s">
        <v>106</v>
      </c>
      <c r="B9" s="25" t="s">
        <v>107</v>
      </c>
      <c r="C9" s="23" t="s">
        <v>79</v>
      </c>
      <c r="D9" s="25" t="s">
        <v>108</v>
      </c>
      <c r="E9" s="25" t="s">
        <v>109</v>
      </c>
      <c r="F9" s="21"/>
      <c r="G9" s="19" t="s">
        <v>82</v>
      </c>
    </row>
    <row r="10" ht="42.0" customHeight="1">
      <c r="A10" s="15" t="s">
        <v>110</v>
      </c>
      <c r="B10" s="21" t="s">
        <v>111</v>
      </c>
      <c r="C10" s="16" t="s">
        <v>79</v>
      </c>
      <c r="D10" s="21" t="s">
        <v>112</v>
      </c>
      <c r="E10" s="21" t="s">
        <v>113</v>
      </c>
      <c r="F10" s="21"/>
      <c r="G10" s="19" t="s">
        <v>82</v>
      </c>
    </row>
    <row r="11" ht="42.0" customHeight="1">
      <c r="A11" s="22" t="s">
        <v>114</v>
      </c>
      <c r="B11" s="25" t="s">
        <v>115</v>
      </c>
      <c r="C11" s="23" t="s">
        <v>79</v>
      </c>
      <c r="D11" s="25" t="s">
        <v>116</v>
      </c>
      <c r="E11" s="25" t="s">
        <v>117</v>
      </c>
      <c r="F11" s="21"/>
      <c r="G11" s="19" t="s">
        <v>82</v>
      </c>
    </row>
    <row r="12" ht="42.0" customHeight="1">
      <c r="A12" s="15" t="s">
        <v>118</v>
      </c>
      <c r="B12" s="21" t="s">
        <v>119</v>
      </c>
      <c r="C12" s="16" t="s">
        <v>79</v>
      </c>
      <c r="D12" s="21" t="s">
        <v>120</v>
      </c>
      <c r="E12" s="21" t="s">
        <v>121</v>
      </c>
      <c r="F12" s="21"/>
      <c r="G12" s="19" t="s">
        <v>82</v>
      </c>
    </row>
    <row r="13" ht="42.0" customHeight="1">
      <c r="A13" s="22" t="s">
        <v>122</v>
      </c>
      <c r="B13" s="25" t="s">
        <v>123</v>
      </c>
      <c r="C13" s="23" t="s">
        <v>79</v>
      </c>
      <c r="D13" s="25" t="s">
        <v>124</v>
      </c>
      <c r="E13" s="25" t="s">
        <v>125</v>
      </c>
      <c r="F13" s="21"/>
      <c r="G13" s="19" t="s">
        <v>82</v>
      </c>
    </row>
    <row r="14" ht="42.0" customHeight="1">
      <c r="A14" s="15" t="s">
        <v>126</v>
      </c>
      <c r="B14" s="21" t="s">
        <v>127</v>
      </c>
      <c r="C14" s="16" t="s">
        <v>79</v>
      </c>
      <c r="D14" s="21" t="s">
        <v>128</v>
      </c>
      <c r="E14" s="21" t="s">
        <v>129</v>
      </c>
      <c r="F14" s="21"/>
      <c r="G14" s="19" t="s">
        <v>82</v>
      </c>
    </row>
    <row r="15" ht="42.0" customHeight="1">
      <c r="A15" s="22" t="s">
        <v>130</v>
      </c>
      <c r="B15" s="25" t="s">
        <v>131</v>
      </c>
      <c r="C15" s="23" t="s">
        <v>79</v>
      </c>
      <c r="D15" s="25" t="s">
        <v>132</v>
      </c>
      <c r="E15" s="25" t="s">
        <v>133</v>
      </c>
      <c r="F15" s="21"/>
      <c r="G15" s="19" t="s">
        <v>82</v>
      </c>
    </row>
    <row r="16" ht="42.0" customHeight="1">
      <c r="A16" s="15" t="s">
        <v>134</v>
      </c>
      <c r="B16" s="21" t="s">
        <v>135</v>
      </c>
      <c r="C16" s="16" t="s">
        <v>79</v>
      </c>
      <c r="D16" s="21" t="s">
        <v>136</v>
      </c>
      <c r="E16" s="21" t="s">
        <v>137</v>
      </c>
      <c r="F16" s="21"/>
      <c r="G16" s="19" t="s">
        <v>82</v>
      </c>
    </row>
    <row r="17" ht="42.0" customHeight="1">
      <c r="A17" s="22" t="s">
        <v>138</v>
      </c>
      <c r="B17" s="25" t="s">
        <v>139</v>
      </c>
      <c r="C17" s="23" t="s">
        <v>79</v>
      </c>
      <c r="D17" s="25" t="s">
        <v>140</v>
      </c>
      <c r="E17" s="25" t="s">
        <v>141</v>
      </c>
      <c r="F17" s="21"/>
      <c r="G17" s="19" t="s">
        <v>82</v>
      </c>
    </row>
    <row r="18" ht="42.0" customHeight="1">
      <c r="A18" s="15" t="s">
        <v>142</v>
      </c>
      <c r="B18" s="21" t="s">
        <v>143</v>
      </c>
      <c r="C18" s="16" t="s">
        <v>79</v>
      </c>
      <c r="D18" s="21" t="s">
        <v>144</v>
      </c>
      <c r="E18" s="21" t="s">
        <v>145</v>
      </c>
      <c r="F18" s="21"/>
      <c r="G18" s="19" t="s">
        <v>82</v>
      </c>
    </row>
    <row r="19" ht="42.0" customHeight="1">
      <c r="A19" s="22" t="s">
        <v>146</v>
      </c>
      <c r="B19" s="25" t="s">
        <v>147</v>
      </c>
      <c r="C19" s="23" t="s">
        <v>79</v>
      </c>
      <c r="D19" s="25" t="s">
        <v>148</v>
      </c>
      <c r="E19" s="25" t="s">
        <v>149</v>
      </c>
      <c r="F19" s="21"/>
      <c r="G19" s="19" t="s">
        <v>82</v>
      </c>
    </row>
    <row r="20" ht="42.0" customHeight="1">
      <c r="A20" s="15" t="s">
        <v>150</v>
      </c>
      <c r="B20" s="21" t="s">
        <v>151</v>
      </c>
      <c r="C20" s="16" t="s">
        <v>79</v>
      </c>
      <c r="D20" s="21" t="s">
        <v>152</v>
      </c>
      <c r="E20" s="21" t="s">
        <v>153</v>
      </c>
      <c r="F20" s="21"/>
      <c r="G20" s="19" t="s">
        <v>82</v>
      </c>
    </row>
    <row r="21" ht="42.0" customHeight="1">
      <c r="A21" s="22" t="s">
        <v>154</v>
      </c>
      <c r="B21" s="25" t="s">
        <v>155</v>
      </c>
      <c r="C21" s="23" t="s">
        <v>79</v>
      </c>
      <c r="D21" s="25" t="s">
        <v>156</v>
      </c>
      <c r="E21" s="25" t="s">
        <v>157</v>
      </c>
      <c r="F21" s="21"/>
      <c r="G21" s="19" t="s">
        <v>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1"/>
  <conditionalFormatting sqref="G2:G21">
    <cfRule type="cellIs" dxfId="0" priority="1" operator="equal">
      <formula>"Pass"</formula>
    </cfRule>
  </conditionalFormatting>
  <conditionalFormatting sqref="G2:G21">
    <cfRule type="cellIs" dxfId="1" priority="2" operator="equal">
      <formula>"Fail"</formula>
    </cfRule>
  </conditionalFormatting>
  <conditionalFormatting sqref="G2:G21">
    <cfRule type="cellIs" dxfId="2" priority="3" operator="equal">
      <formula>"Unknown"</formula>
    </cfRule>
  </conditionalFormatting>
  <dataValidations>
    <dataValidation type="list" allowBlank="1" sqref="G2:G2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158</v>
      </c>
      <c r="B2" s="21" t="s">
        <v>159</v>
      </c>
      <c r="C2" s="16" t="s">
        <v>19</v>
      </c>
      <c r="D2" s="21" t="s">
        <v>160</v>
      </c>
      <c r="E2" s="21" t="s">
        <v>161</v>
      </c>
      <c r="F2" s="21"/>
      <c r="G2" s="19" t="s">
        <v>82</v>
      </c>
    </row>
    <row r="3" ht="42.0" customHeight="1">
      <c r="A3" s="22" t="s">
        <v>162</v>
      </c>
      <c r="B3" s="25" t="s">
        <v>159</v>
      </c>
      <c r="C3" s="23" t="s">
        <v>19</v>
      </c>
      <c r="D3" s="25" t="s">
        <v>163</v>
      </c>
      <c r="E3" s="25" t="s">
        <v>164</v>
      </c>
      <c r="F3" s="21"/>
      <c r="G3" s="19" t="s">
        <v>82</v>
      </c>
    </row>
    <row r="4" ht="42.0" customHeight="1">
      <c r="A4" s="15" t="s">
        <v>165</v>
      </c>
      <c r="B4" s="21" t="s">
        <v>166</v>
      </c>
      <c r="C4" s="16" t="s">
        <v>19</v>
      </c>
      <c r="D4" s="21" t="s">
        <v>167</v>
      </c>
      <c r="E4" s="21" t="s">
        <v>168</v>
      </c>
      <c r="F4" s="21"/>
      <c r="G4" s="19" t="s">
        <v>82</v>
      </c>
    </row>
    <row r="5" ht="42.0" customHeight="1">
      <c r="A5" s="22" t="s">
        <v>169</v>
      </c>
      <c r="B5" s="25" t="s">
        <v>170</v>
      </c>
      <c r="C5" s="23" t="s">
        <v>19</v>
      </c>
      <c r="D5" s="25" t="s">
        <v>171</v>
      </c>
      <c r="E5" s="25" t="s">
        <v>172</v>
      </c>
      <c r="F5" s="21"/>
      <c r="G5" s="19" t="s">
        <v>82</v>
      </c>
    </row>
    <row r="6" ht="42.0" customHeight="1">
      <c r="A6" s="15" t="s">
        <v>173</v>
      </c>
      <c r="B6" s="21" t="s">
        <v>170</v>
      </c>
      <c r="C6" s="16" t="s">
        <v>19</v>
      </c>
      <c r="D6" s="21" t="s">
        <v>174</v>
      </c>
      <c r="E6" s="21" t="s">
        <v>175</v>
      </c>
      <c r="F6" s="21"/>
      <c r="G6" s="19" t="s">
        <v>82</v>
      </c>
    </row>
    <row r="7" ht="42.0" customHeight="1">
      <c r="A7" s="22" t="s">
        <v>176</v>
      </c>
      <c r="B7" s="25" t="s">
        <v>177</v>
      </c>
      <c r="C7" s="23" t="s">
        <v>19</v>
      </c>
      <c r="D7" s="25" t="s">
        <v>178</v>
      </c>
      <c r="E7" s="25" t="s">
        <v>179</v>
      </c>
      <c r="F7" s="21"/>
      <c r="G7" s="19" t="s">
        <v>82</v>
      </c>
    </row>
    <row r="8" ht="42.0" customHeight="1">
      <c r="A8" s="15" t="s">
        <v>180</v>
      </c>
      <c r="B8" s="21" t="s">
        <v>181</v>
      </c>
      <c r="C8" s="16" t="s">
        <v>19</v>
      </c>
      <c r="D8" s="21" t="s">
        <v>182</v>
      </c>
      <c r="E8" s="21" t="s">
        <v>183</v>
      </c>
      <c r="F8" s="21"/>
      <c r="G8" s="19" t="s">
        <v>82</v>
      </c>
    </row>
    <row r="9" ht="42.0" customHeight="1">
      <c r="A9" s="22" t="s">
        <v>184</v>
      </c>
      <c r="B9" s="25" t="s">
        <v>185</v>
      </c>
      <c r="C9" s="23" t="s">
        <v>19</v>
      </c>
      <c r="D9" s="25" t="s">
        <v>186</v>
      </c>
      <c r="E9" s="25" t="s">
        <v>187</v>
      </c>
      <c r="F9" s="21"/>
      <c r="G9" s="19" t="s">
        <v>82</v>
      </c>
    </row>
    <row r="10" ht="42.0" customHeight="1">
      <c r="A10" s="15" t="s">
        <v>188</v>
      </c>
      <c r="B10" s="21" t="s">
        <v>189</v>
      </c>
      <c r="C10" s="16" t="s">
        <v>19</v>
      </c>
      <c r="D10" s="21" t="s">
        <v>190</v>
      </c>
      <c r="E10" s="21" t="s">
        <v>191</v>
      </c>
      <c r="F10" s="21"/>
      <c r="G10" s="19" t="s">
        <v>82</v>
      </c>
    </row>
    <row r="11" ht="42.0" customHeight="1">
      <c r="A11" s="22" t="s">
        <v>192</v>
      </c>
      <c r="B11" s="25" t="s">
        <v>193</v>
      </c>
      <c r="C11" s="23" t="s">
        <v>19</v>
      </c>
      <c r="D11" s="25" t="s">
        <v>194</v>
      </c>
      <c r="E11" s="25" t="s">
        <v>195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196</v>
      </c>
      <c r="B2" s="21" t="s">
        <v>197</v>
      </c>
      <c r="C2" s="16" t="s">
        <v>198</v>
      </c>
      <c r="D2" s="21" t="s">
        <v>199</v>
      </c>
      <c r="E2" s="21" t="s">
        <v>200</v>
      </c>
      <c r="F2" s="21"/>
      <c r="G2" s="19" t="s">
        <v>82</v>
      </c>
    </row>
    <row r="3" ht="42.0" customHeight="1">
      <c r="A3" s="22" t="s">
        <v>201</v>
      </c>
      <c r="B3" s="25" t="s">
        <v>202</v>
      </c>
      <c r="C3" s="23" t="s">
        <v>198</v>
      </c>
      <c r="D3" s="25" t="s">
        <v>203</v>
      </c>
      <c r="E3" s="25" t="s">
        <v>204</v>
      </c>
      <c r="F3" s="21"/>
      <c r="G3" s="19" t="s">
        <v>82</v>
      </c>
    </row>
    <row r="4" ht="42.0" customHeight="1">
      <c r="A4" s="15" t="s">
        <v>205</v>
      </c>
      <c r="B4" s="21" t="s">
        <v>206</v>
      </c>
      <c r="C4" s="16" t="s">
        <v>198</v>
      </c>
      <c r="D4" s="21" t="s">
        <v>207</v>
      </c>
      <c r="E4" s="21" t="s">
        <v>208</v>
      </c>
      <c r="F4" s="21"/>
      <c r="G4" s="19" t="s">
        <v>82</v>
      </c>
    </row>
    <row r="5" ht="42.0" customHeight="1">
      <c r="A5" s="22" t="s">
        <v>209</v>
      </c>
      <c r="B5" s="25" t="s">
        <v>210</v>
      </c>
      <c r="C5" s="23" t="s">
        <v>198</v>
      </c>
      <c r="D5" s="25" t="s">
        <v>211</v>
      </c>
      <c r="E5" s="25" t="s">
        <v>212</v>
      </c>
      <c r="F5" s="21"/>
      <c r="G5" s="19" t="s">
        <v>82</v>
      </c>
    </row>
    <row r="6" ht="42.0" customHeight="1">
      <c r="A6" s="15" t="s">
        <v>213</v>
      </c>
      <c r="B6" s="21" t="s">
        <v>214</v>
      </c>
      <c r="C6" s="16" t="s">
        <v>198</v>
      </c>
      <c r="D6" s="21" t="s">
        <v>215</v>
      </c>
      <c r="E6" s="21" t="s">
        <v>216</v>
      </c>
      <c r="F6" s="21"/>
      <c r="G6" s="19" t="s">
        <v>82</v>
      </c>
    </row>
    <row r="7" ht="42.0" customHeight="1">
      <c r="A7" s="22" t="s">
        <v>217</v>
      </c>
      <c r="B7" s="25" t="s">
        <v>214</v>
      </c>
      <c r="C7" s="23" t="s">
        <v>198</v>
      </c>
      <c r="D7" s="25" t="s">
        <v>218</v>
      </c>
      <c r="E7" s="25" t="s">
        <v>219</v>
      </c>
      <c r="F7" s="21"/>
      <c r="G7" s="19" t="s">
        <v>82</v>
      </c>
    </row>
    <row r="8" ht="42.0" customHeight="1">
      <c r="A8" s="15" t="s">
        <v>220</v>
      </c>
      <c r="B8" s="21" t="s">
        <v>221</v>
      </c>
      <c r="C8" s="16" t="s">
        <v>198</v>
      </c>
      <c r="D8" s="21" t="s">
        <v>222</v>
      </c>
      <c r="E8" s="21" t="s">
        <v>223</v>
      </c>
      <c r="F8" s="21"/>
      <c r="G8" s="19" t="s">
        <v>82</v>
      </c>
    </row>
    <row r="9" ht="42.0" customHeight="1">
      <c r="A9" s="22" t="s">
        <v>224</v>
      </c>
      <c r="B9" s="25" t="s">
        <v>225</v>
      </c>
      <c r="C9" s="23" t="s">
        <v>198</v>
      </c>
      <c r="D9" s="25" t="s">
        <v>226</v>
      </c>
      <c r="E9" s="25" t="s">
        <v>227</v>
      </c>
      <c r="F9" s="21"/>
      <c r="G9" s="19" t="s">
        <v>82</v>
      </c>
    </row>
    <row r="10" ht="42.0" customHeight="1">
      <c r="A10" s="15" t="s">
        <v>228</v>
      </c>
      <c r="B10" s="21" t="s">
        <v>229</v>
      </c>
      <c r="C10" s="16" t="s">
        <v>198</v>
      </c>
      <c r="D10" s="21" t="s">
        <v>230</v>
      </c>
      <c r="E10" s="21" t="s">
        <v>231</v>
      </c>
      <c r="F10" s="21"/>
      <c r="G10" s="19" t="s">
        <v>82</v>
      </c>
    </row>
    <row r="11" ht="42.0" customHeight="1">
      <c r="A11" s="22" t="s">
        <v>232</v>
      </c>
      <c r="B11" s="25" t="s">
        <v>233</v>
      </c>
      <c r="C11" s="23" t="s">
        <v>198</v>
      </c>
      <c r="D11" s="25" t="s">
        <v>234</v>
      </c>
      <c r="E11" s="25" t="s">
        <v>235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236</v>
      </c>
      <c r="B2" s="21" t="s">
        <v>237</v>
      </c>
      <c r="C2" s="16" t="s">
        <v>238</v>
      </c>
      <c r="D2" s="21" t="s">
        <v>239</v>
      </c>
      <c r="E2" s="21" t="s">
        <v>240</v>
      </c>
      <c r="F2" s="21"/>
      <c r="G2" s="19" t="s">
        <v>82</v>
      </c>
    </row>
    <row r="3" ht="42.0" customHeight="1">
      <c r="A3" s="22" t="s">
        <v>241</v>
      </c>
      <c r="B3" s="25" t="s">
        <v>242</v>
      </c>
      <c r="C3" s="23" t="s">
        <v>238</v>
      </c>
      <c r="D3" s="25" t="s">
        <v>243</v>
      </c>
      <c r="E3" s="25" t="s">
        <v>244</v>
      </c>
      <c r="F3" s="21"/>
      <c r="G3" s="19" t="s">
        <v>82</v>
      </c>
    </row>
    <row r="4" ht="42.0" customHeight="1">
      <c r="A4" s="15" t="s">
        <v>245</v>
      </c>
      <c r="B4" s="21" t="s">
        <v>246</v>
      </c>
      <c r="C4" s="16" t="s">
        <v>238</v>
      </c>
      <c r="D4" s="21" t="s">
        <v>247</v>
      </c>
      <c r="E4" s="21" t="s">
        <v>248</v>
      </c>
      <c r="F4" s="21"/>
      <c r="G4" s="19" t="s">
        <v>82</v>
      </c>
    </row>
    <row r="5" ht="42.0" customHeight="1">
      <c r="A5" s="22" t="s">
        <v>249</v>
      </c>
      <c r="B5" s="25" t="s">
        <v>250</v>
      </c>
      <c r="C5" s="23" t="s">
        <v>238</v>
      </c>
      <c r="D5" s="25" t="s">
        <v>251</v>
      </c>
      <c r="E5" s="25" t="s">
        <v>252</v>
      </c>
      <c r="F5" s="21"/>
      <c r="G5" s="19" t="s">
        <v>82</v>
      </c>
    </row>
    <row r="6" ht="42.0" customHeight="1">
      <c r="A6" s="15" t="s">
        <v>253</v>
      </c>
      <c r="B6" s="21" t="s">
        <v>254</v>
      </c>
      <c r="C6" s="16" t="s">
        <v>238</v>
      </c>
      <c r="D6" s="21" t="s">
        <v>255</v>
      </c>
      <c r="E6" s="21" t="s">
        <v>256</v>
      </c>
      <c r="F6" s="21"/>
      <c r="G6" s="19" t="s">
        <v>82</v>
      </c>
    </row>
    <row r="7" ht="42.0" customHeight="1">
      <c r="A7" s="22" t="s">
        <v>257</v>
      </c>
      <c r="B7" s="25" t="s">
        <v>258</v>
      </c>
      <c r="C7" s="23" t="s">
        <v>238</v>
      </c>
      <c r="D7" s="25" t="s">
        <v>259</v>
      </c>
      <c r="E7" s="25" t="s">
        <v>260</v>
      </c>
      <c r="F7" s="21"/>
      <c r="G7" s="19" t="s">
        <v>82</v>
      </c>
    </row>
    <row r="8" ht="42.0" customHeight="1">
      <c r="A8" s="15" t="s">
        <v>261</v>
      </c>
      <c r="B8" s="21" t="s">
        <v>262</v>
      </c>
      <c r="C8" s="16" t="s">
        <v>238</v>
      </c>
      <c r="D8" s="21" t="s">
        <v>263</v>
      </c>
      <c r="E8" s="21" t="s">
        <v>264</v>
      </c>
      <c r="F8" s="21"/>
      <c r="G8" s="19" t="s">
        <v>82</v>
      </c>
    </row>
    <row r="9" ht="42.0" customHeight="1">
      <c r="A9" s="22" t="s">
        <v>265</v>
      </c>
      <c r="B9" s="25" t="s">
        <v>266</v>
      </c>
      <c r="C9" s="23" t="s">
        <v>238</v>
      </c>
      <c r="D9" s="25" t="s">
        <v>267</v>
      </c>
      <c r="E9" s="25" t="s">
        <v>268</v>
      </c>
      <c r="F9" s="21"/>
      <c r="G9" s="19" t="s">
        <v>82</v>
      </c>
    </row>
    <row r="10" ht="42.0" customHeight="1">
      <c r="A10" s="15" t="s">
        <v>269</v>
      </c>
      <c r="B10" s="21" t="s">
        <v>270</v>
      </c>
      <c r="C10" s="16" t="s">
        <v>238</v>
      </c>
      <c r="D10" s="21" t="s">
        <v>271</v>
      </c>
      <c r="E10" s="21" t="s">
        <v>272</v>
      </c>
      <c r="F10" s="21"/>
      <c r="G10" s="19" t="s">
        <v>82</v>
      </c>
    </row>
    <row r="11" ht="42.0" customHeight="1">
      <c r="A11" s="22" t="s">
        <v>273</v>
      </c>
      <c r="B11" s="25" t="s">
        <v>274</v>
      </c>
      <c r="C11" s="23" t="s">
        <v>238</v>
      </c>
      <c r="D11" s="25" t="s">
        <v>275</v>
      </c>
      <c r="E11" s="25" t="s">
        <v>276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277</v>
      </c>
      <c r="B2" s="21" t="s">
        <v>278</v>
      </c>
      <c r="C2" s="16" t="s">
        <v>28</v>
      </c>
      <c r="D2" s="21" t="s">
        <v>279</v>
      </c>
      <c r="E2" s="21" t="s">
        <v>280</v>
      </c>
      <c r="F2" s="21"/>
      <c r="G2" s="19" t="s">
        <v>82</v>
      </c>
    </row>
    <row r="3" ht="42.0" customHeight="1">
      <c r="A3" s="22" t="s">
        <v>281</v>
      </c>
      <c r="B3" s="25" t="s">
        <v>282</v>
      </c>
      <c r="C3" s="23" t="s">
        <v>28</v>
      </c>
      <c r="D3" s="25" t="s">
        <v>283</v>
      </c>
      <c r="E3" s="25" t="s">
        <v>284</v>
      </c>
      <c r="F3" s="21"/>
      <c r="G3" s="19" t="s">
        <v>82</v>
      </c>
    </row>
    <row r="4" ht="42.0" customHeight="1">
      <c r="A4" s="15" t="s">
        <v>285</v>
      </c>
      <c r="B4" s="21" t="s">
        <v>286</v>
      </c>
      <c r="C4" s="16" t="s">
        <v>28</v>
      </c>
      <c r="D4" s="21" t="s">
        <v>287</v>
      </c>
      <c r="E4" s="21" t="s">
        <v>288</v>
      </c>
      <c r="F4" s="21"/>
      <c r="G4" s="19" t="s">
        <v>82</v>
      </c>
    </row>
    <row r="5" ht="42.0" customHeight="1">
      <c r="A5" s="22" t="s">
        <v>289</v>
      </c>
      <c r="B5" s="25" t="s">
        <v>290</v>
      </c>
      <c r="C5" s="23" t="s">
        <v>28</v>
      </c>
      <c r="D5" s="25" t="s">
        <v>291</v>
      </c>
      <c r="E5" s="25" t="s">
        <v>292</v>
      </c>
      <c r="F5" s="21"/>
      <c r="G5" s="19" t="s">
        <v>82</v>
      </c>
    </row>
    <row r="6" ht="42.0" customHeight="1">
      <c r="A6" s="15" t="s">
        <v>293</v>
      </c>
      <c r="B6" s="21" t="s">
        <v>294</v>
      </c>
      <c r="C6" s="16" t="s">
        <v>28</v>
      </c>
      <c r="D6" s="21" t="s">
        <v>295</v>
      </c>
      <c r="E6" s="21" t="s">
        <v>296</v>
      </c>
      <c r="F6" s="21"/>
      <c r="G6" s="19" t="s">
        <v>82</v>
      </c>
    </row>
    <row r="7" ht="42.0" customHeight="1">
      <c r="A7" s="22" t="s">
        <v>297</v>
      </c>
      <c r="B7" s="25" t="s">
        <v>298</v>
      </c>
      <c r="C7" s="23" t="s">
        <v>28</v>
      </c>
      <c r="D7" s="25" t="s">
        <v>299</v>
      </c>
      <c r="E7" s="25" t="s">
        <v>300</v>
      </c>
      <c r="F7" s="21"/>
      <c r="G7" s="19" t="s">
        <v>82</v>
      </c>
    </row>
    <row r="8" ht="42.0" customHeight="1">
      <c r="A8" s="15" t="s">
        <v>301</v>
      </c>
      <c r="B8" s="21" t="s">
        <v>302</v>
      </c>
      <c r="C8" s="16" t="s">
        <v>28</v>
      </c>
      <c r="D8" s="21" t="s">
        <v>303</v>
      </c>
      <c r="E8" s="21" t="s">
        <v>304</v>
      </c>
      <c r="F8" s="21"/>
      <c r="G8" s="19" t="s">
        <v>82</v>
      </c>
    </row>
    <row r="9" ht="42.0" customHeight="1">
      <c r="A9" s="22" t="s">
        <v>305</v>
      </c>
      <c r="B9" s="25" t="s">
        <v>306</v>
      </c>
      <c r="C9" s="23" t="s">
        <v>28</v>
      </c>
      <c r="D9" s="25" t="s">
        <v>307</v>
      </c>
      <c r="E9" s="25" t="s">
        <v>308</v>
      </c>
      <c r="F9" s="21"/>
      <c r="G9" s="19" t="s">
        <v>82</v>
      </c>
    </row>
    <row r="10" ht="42.0" customHeight="1">
      <c r="A10" s="15" t="s">
        <v>309</v>
      </c>
      <c r="B10" s="21" t="s">
        <v>310</v>
      </c>
      <c r="C10" s="16" t="s">
        <v>28</v>
      </c>
      <c r="D10" s="21" t="s">
        <v>311</v>
      </c>
      <c r="E10" s="21" t="s">
        <v>312</v>
      </c>
      <c r="F10" s="21"/>
      <c r="G10" s="19" t="s">
        <v>82</v>
      </c>
    </row>
    <row r="11" ht="42.0" customHeight="1">
      <c r="A11" s="22" t="s">
        <v>313</v>
      </c>
      <c r="B11" s="25" t="s">
        <v>314</v>
      </c>
      <c r="C11" s="23" t="s">
        <v>28</v>
      </c>
      <c r="D11" s="25" t="s">
        <v>315</v>
      </c>
      <c r="E11" s="25" t="s">
        <v>316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317</v>
      </c>
      <c r="B2" s="21" t="s">
        <v>318</v>
      </c>
      <c r="C2" s="16" t="s">
        <v>31</v>
      </c>
      <c r="D2" s="21" t="s">
        <v>319</v>
      </c>
      <c r="E2" s="21" t="s">
        <v>320</v>
      </c>
      <c r="F2" s="21"/>
      <c r="G2" s="19" t="s">
        <v>82</v>
      </c>
    </row>
    <row r="3" ht="42.0" customHeight="1">
      <c r="A3" s="22" t="s">
        <v>321</v>
      </c>
      <c r="B3" s="25" t="s">
        <v>322</v>
      </c>
      <c r="C3" s="23" t="s">
        <v>31</v>
      </c>
      <c r="D3" s="25" t="s">
        <v>323</v>
      </c>
      <c r="E3" s="25" t="s">
        <v>324</v>
      </c>
      <c r="F3" s="21"/>
      <c r="G3" s="19" t="s">
        <v>82</v>
      </c>
    </row>
    <row r="4" ht="42.0" customHeight="1">
      <c r="A4" s="15" t="s">
        <v>325</v>
      </c>
      <c r="B4" s="21" t="s">
        <v>326</v>
      </c>
      <c r="C4" s="16" t="s">
        <v>31</v>
      </c>
      <c r="D4" s="21" t="s">
        <v>327</v>
      </c>
      <c r="E4" s="21" t="s">
        <v>328</v>
      </c>
      <c r="F4" s="21"/>
      <c r="G4" s="19" t="s">
        <v>82</v>
      </c>
    </row>
    <row r="5" ht="42.0" customHeight="1">
      <c r="A5" s="22" t="s">
        <v>329</v>
      </c>
      <c r="B5" s="25" t="s">
        <v>330</v>
      </c>
      <c r="C5" s="23" t="s">
        <v>31</v>
      </c>
      <c r="D5" s="25" t="s">
        <v>331</v>
      </c>
      <c r="E5" s="25" t="s">
        <v>332</v>
      </c>
      <c r="F5" s="21"/>
      <c r="G5" s="19" t="s">
        <v>82</v>
      </c>
    </row>
    <row r="6" ht="42.0" customHeight="1">
      <c r="A6" s="15" t="s">
        <v>333</v>
      </c>
      <c r="B6" s="21" t="s">
        <v>334</v>
      </c>
      <c r="C6" s="16" t="s">
        <v>31</v>
      </c>
      <c r="D6" s="21" t="s">
        <v>335</v>
      </c>
      <c r="E6" s="21" t="s">
        <v>336</v>
      </c>
      <c r="F6" s="21"/>
      <c r="G6" s="19" t="s">
        <v>82</v>
      </c>
    </row>
    <row r="7" ht="42.0" customHeight="1">
      <c r="A7" s="22" t="s">
        <v>337</v>
      </c>
      <c r="B7" s="25" t="s">
        <v>338</v>
      </c>
      <c r="C7" s="23" t="s">
        <v>31</v>
      </c>
      <c r="D7" s="25" t="s">
        <v>339</v>
      </c>
      <c r="E7" s="25" t="s">
        <v>340</v>
      </c>
      <c r="F7" s="21"/>
      <c r="G7" s="19" t="s">
        <v>82</v>
      </c>
    </row>
    <row r="8" ht="42.0" customHeight="1">
      <c r="A8" s="15" t="s">
        <v>341</v>
      </c>
      <c r="B8" s="21" t="s">
        <v>342</v>
      </c>
      <c r="C8" s="16" t="s">
        <v>31</v>
      </c>
      <c r="D8" s="21" t="s">
        <v>343</v>
      </c>
      <c r="E8" s="21" t="s">
        <v>344</v>
      </c>
      <c r="F8" s="21"/>
      <c r="G8" s="19" t="s">
        <v>82</v>
      </c>
    </row>
    <row r="9" ht="42.0" customHeight="1">
      <c r="A9" s="22" t="s">
        <v>345</v>
      </c>
      <c r="B9" s="25" t="s">
        <v>346</v>
      </c>
      <c r="C9" s="23" t="s">
        <v>31</v>
      </c>
      <c r="D9" s="25" t="s">
        <v>347</v>
      </c>
      <c r="E9" s="25" t="s">
        <v>348</v>
      </c>
      <c r="F9" s="21"/>
      <c r="G9" s="19" t="s">
        <v>82</v>
      </c>
    </row>
    <row r="10" ht="42.0" customHeight="1">
      <c r="A10" s="15" t="s">
        <v>349</v>
      </c>
      <c r="B10" s="21" t="s">
        <v>346</v>
      </c>
      <c r="C10" s="16" t="s">
        <v>31</v>
      </c>
      <c r="D10" s="21" t="s">
        <v>350</v>
      </c>
      <c r="E10" s="21" t="s">
        <v>351</v>
      </c>
      <c r="F10" s="21"/>
      <c r="G10" s="19" t="s">
        <v>82</v>
      </c>
    </row>
    <row r="11" ht="42.0" customHeight="1">
      <c r="A11" s="22" t="s">
        <v>352</v>
      </c>
      <c r="B11" s="25" t="s">
        <v>353</v>
      </c>
      <c r="C11" s="23" t="s">
        <v>31</v>
      </c>
      <c r="D11" s="25" t="s">
        <v>354</v>
      </c>
      <c r="E11" s="25" t="s">
        <v>355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356</v>
      </c>
      <c r="B2" s="21" t="s">
        <v>357</v>
      </c>
      <c r="C2" s="16" t="s">
        <v>34</v>
      </c>
      <c r="D2" s="21" t="s">
        <v>358</v>
      </c>
      <c r="E2" s="21" t="s">
        <v>359</v>
      </c>
      <c r="F2" s="21"/>
      <c r="G2" s="19" t="s">
        <v>82</v>
      </c>
    </row>
    <row r="3" ht="42.0" customHeight="1">
      <c r="A3" s="22" t="s">
        <v>360</v>
      </c>
      <c r="B3" s="25" t="s">
        <v>361</v>
      </c>
      <c r="C3" s="23" t="s">
        <v>34</v>
      </c>
      <c r="D3" s="25" t="s">
        <v>362</v>
      </c>
      <c r="E3" s="25" t="s">
        <v>363</v>
      </c>
      <c r="F3" s="21"/>
      <c r="G3" s="19" t="s">
        <v>82</v>
      </c>
    </row>
    <row r="4" ht="42.0" customHeight="1">
      <c r="A4" s="15" t="s">
        <v>364</v>
      </c>
      <c r="B4" s="21" t="s">
        <v>365</v>
      </c>
      <c r="C4" s="16" t="s">
        <v>34</v>
      </c>
      <c r="D4" s="21" t="s">
        <v>366</v>
      </c>
      <c r="E4" s="21" t="s">
        <v>367</v>
      </c>
      <c r="F4" s="21"/>
      <c r="G4" s="19" t="s">
        <v>82</v>
      </c>
    </row>
    <row r="5" ht="42.0" customHeight="1">
      <c r="A5" s="22" t="s">
        <v>368</v>
      </c>
      <c r="B5" s="25" t="s">
        <v>369</v>
      </c>
      <c r="C5" s="23" t="s">
        <v>34</v>
      </c>
      <c r="D5" s="25" t="s">
        <v>370</v>
      </c>
      <c r="E5" s="25" t="s">
        <v>371</v>
      </c>
      <c r="F5" s="21"/>
      <c r="G5" s="19" t="s">
        <v>82</v>
      </c>
    </row>
    <row r="6" ht="42.0" customHeight="1">
      <c r="A6" s="15" t="s">
        <v>372</v>
      </c>
      <c r="B6" s="21" t="s">
        <v>373</v>
      </c>
      <c r="C6" s="16" t="s">
        <v>34</v>
      </c>
      <c r="D6" s="21" t="s">
        <v>374</v>
      </c>
      <c r="E6" s="21" t="s">
        <v>375</v>
      </c>
      <c r="F6" s="21"/>
      <c r="G6" s="19" t="s">
        <v>82</v>
      </c>
    </row>
    <row r="7" ht="42.0" customHeight="1">
      <c r="A7" s="22" t="s">
        <v>376</v>
      </c>
      <c r="B7" s="25" t="s">
        <v>377</v>
      </c>
      <c r="C7" s="23" t="s">
        <v>34</v>
      </c>
      <c r="D7" s="25" t="s">
        <v>378</v>
      </c>
      <c r="E7" s="25" t="s">
        <v>379</v>
      </c>
      <c r="F7" s="21"/>
      <c r="G7" s="19" t="s">
        <v>82</v>
      </c>
    </row>
    <row r="8" ht="42.0" customHeight="1">
      <c r="A8" s="15" t="s">
        <v>380</v>
      </c>
      <c r="B8" s="21" t="s">
        <v>202</v>
      </c>
      <c r="C8" s="16" t="s">
        <v>34</v>
      </c>
      <c r="D8" s="21" t="s">
        <v>381</v>
      </c>
      <c r="E8" s="21" t="s">
        <v>382</v>
      </c>
      <c r="F8" s="21"/>
      <c r="G8" s="19" t="s">
        <v>82</v>
      </c>
    </row>
    <row r="9" ht="42.0" customHeight="1">
      <c r="A9" s="22" t="s">
        <v>383</v>
      </c>
      <c r="B9" s="25" t="s">
        <v>384</v>
      </c>
      <c r="C9" s="23" t="s">
        <v>34</v>
      </c>
      <c r="D9" s="25" t="s">
        <v>385</v>
      </c>
      <c r="E9" s="25" t="s">
        <v>386</v>
      </c>
      <c r="F9" s="21"/>
      <c r="G9" s="19" t="s">
        <v>82</v>
      </c>
    </row>
    <row r="10" ht="42.0" customHeight="1">
      <c r="A10" s="15" t="s">
        <v>387</v>
      </c>
      <c r="B10" s="21" t="s">
        <v>388</v>
      </c>
      <c r="C10" s="16" t="s">
        <v>34</v>
      </c>
      <c r="D10" s="21" t="s">
        <v>389</v>
      </c>
      <c r="E10" s="21" t="s">
        <v>390</v>
      </c>
      <c r="F10" s="21"/>
      <c r="G10" s="19" t="s">
        <v>82</v>
      </c>
    </row>
    <row r="11" ht="42.0" customHeight="1">
      <c r="A11" s="22" t="s">
        <v>391</v>
      </c>
      <c r="B11" s="25" t="s">
        <v>392</v>
      </c>
      <c r="C11" s="23" t="s">
        <v>34</v>
      </c>
      <c r="D11" s="25" t="s">
        <v>393</v>
      </c>
      <c r="E11" s="25" t="s">
        <v>394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395</v>
      </c>
      <c r="B2" s="21" t="s">
        <v>396</v>
      </c>
      <c r="C2" s="16" t="s">
        <v>37</v>
      </c>
      <c r="D2" s="21" t="s">
        <v>397</v>
      </c>
      <c r="E2" s="21" t="s">
        <v>398</v>
      </c>
      <c r="F2" s="21"/>
      <c r="G2" s="19" t="s">
        <v>82</v>
      </c>
    </row>
    <row r="3" ht="42.0" customHeight="1">
      <c r="A3" s="22" t="s">
        <v>399</v>
      </c>
      <c r="B3" s="25" t="s">
        <v>202</v>
      </c>
      <c r="C3" s="23" t="s">
        <v>37</v>
      </c>
      <c r="D3" s="25" t="s">
        <v>400</v>
      </c>
      <c r="E3" s="25" t="s">
        <v>401</v>
      </c>
      <c r="F3" s="21"/>
      <c r="G3" s="19" t="s">
        <v>82</v>
      </c>
    </row>
    <row r="4" ht="42.0" customHeight="1">
      <c r="A4" s="15" t="s">
        <v>402</v>
      </c>
      <c r="B4" s="21" t="s">
        <v>403</v>
      </c>
      <c r="C4" s="16" t="s">
        <v>37</v>
      </c>
      <c r="D4" s="21" t="s">
        <v>404</v>
      </c>
      <c r="E4" s="21" t="s">
        <v>405</v>
      </c>
      <c r="F4" s="21"/>
      <c r="G4" s="19" t="s">
        <v>82</v>
      </c>
    </row>
    <row r="5" ht="42.0" customHeight="1">
      <c r="A5" s="22" t="s">
        <v>406</v>
      </c>
      <c r="B5" s="25" t="s">
        <v>407</v>
      </c>
      <c r="C5" s="23" t="s">
        <v>37</v>
      </c>
      <c r="D5" s="25" t="s">
        <v>408</v>
      </c>
      <c r="E5" s="25" t="s">
        <v>409</v>
      </c>
      <c r="F5" s="21"/>
      <c r="G5" s="19" t="s">
        <v>82</v>
      </c>
    </row>
    <row r="6" ht="42.0" customHeight="1">
      <c r="A6" s="15" t="s">
        <v>410</v>
      </c>
      <c r="B6" s="21" t="s">
        <v>411</v>
      </c>
      <c r="C6" s="16" t="s">
        <v>37</v>
      </c>
      <c r="D6" s="21" t="s">
        <v>412</v>
      </c>
      <c r="E6" s="21" t="s">
        <v>413</v>
      </c>
      <c r="F6" s="21"/>
      <c r="G6" s="19" t="s">
        <v>82</v>
      </c>
    </row>
    <row r="7" ht="42.0" customHeight="1">
      <c r="A7" s="22" t="s">
        <v>414</v>
      </c>
      <c r="B7" s="25" t="s">
        <v>415</v>
      </c>
      <c r="C7" s="23" t="s">
        <v>37</v>
      </c>
      <c r="D7" s="25" t="s">
        <v>416</v>
      </c>
      <c r="E7" s="25" t="s">
        <v>417</v>
      </c>
      <c r="F7" s="21"/>
      <c r="G7" s="19" t="s">
        <v>82</v>
      </c>
    </row>
    <row r="8" ht="42.0" customHeight="1">
      <c r="A8" s="15" t="s">
        <v>418</v>
      </c>
      <c r="B8" s="21" t="s">
        <v>419</v>
      </c>
      <c r="C8" s="16" t="s">
        <v>37</v>
      </c>
      <c r="D8" s="21" t="s">
        <v>420</v>
      </c>
      <c r="E8" s="21" t="s">
        <v>421</v>
      </c>
      <c r="F8" s="21"/>
      <c r="G8" s="19" t="s">
        <v>82</v>
      </c>
    </row>
    <row r="9" ht="42.0" customHeight="1">
      <c r="A9" s="22" t="s">
        <v>422</v>
      </c>
      <c r="B9" s="25" t="s">
        <v>423</v>
      </c>
      <c r="C9" s="23" t="s">
        <v>37</v>
      </c>
      <c r="D9" s="25" t="s">
        <v>424</v>
      </c>
      <c r="E9" s="25" t="s">
        <v>425</v>
      </c>
      <c r="F9" s="21"/>
      <c r="G9" s="19" t="s">
        <v>82</v>
      </c>
    </row>
    <row r="10" ht="42.0" customHeight="1">
      <c r="A10" s="15" t="s">
        <v>426</v>
      </c>
      <c r="B10" s="21" t="s">
        <v>427</v>
      </c>
      <c r="C10" s="16" t="s">
        <v>37</v>
      </c>
      <c r="D10" s="21" t="s">
        <v>428</v>
      </c>
      <c r="E10" s="21" t="s">
        <v>429</v>
      </c>
      <c r="F10" s="21"/>
      <c r="G10" s="19" t="s">
        <v>82</v>
      </c>
    </row>
    <row r="11" ht="42.0" customHeight="1">
      <c r="A11" s="22" t="s">
        <v>430</v>
      </c>
      <c r="B11" s="25" t="s">
        <v>431</v>
      </c>
      <c r="C11" s="23" t="s">
        <v>37</v>
      </c>
      <c r="D11" s="25" t="s">
        <v>432</v>
      </c>
      <c r="E11" s="25" t="s">
        <v>433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434</v>
      </c>
      <c r="B2" s="21" t="s">
        <v>435</v>
      </c>
      <c r="C2" s="16" t="s">
        <v>40</v>
      </c>
      <c r="D2" s="21" t="s">
        <v>436</v>
      </c>
      <c r="E2" s="21" t="s">
        <v>437</v>
      </c>
      <c r="F2" s="21"/>
      <c r="G2" s="19" t="s">
        <v>82</v>
      </c>
    </row>
    <row r="3" ht="42.0" customHeight="1">
      <c r="A3" s="22" t="s">
        <v>438</v>
      </c>
      <c r="B3" s="25" t="s">
        <v>439</v>
      </c>
      <c r="C3" s="23" t="s">
        <v>40</v>
      </c>
      <c r="D3" s="25" t="s">
        <v>440</v>
      </c>
      <c r="E3" s="25" t="s">
        <v>441</v>
      </c>
      <c r="F3" s="21"/>
      <c r="G3" s="19" t="s">
        <v>82</v>
      </c>
    </row>
    <row r="4" ht="42.0" customHeight="1">
      <c r="A4" s="15" t="s">
        <v>442</v>
      </c>
      <c r="B4" s="21" t="s">
        <v>443</v>
      </c>
      <c r="C4" s="16" t="s">
        <v>40</v>
      </c>
      <c r="D4" s="21" t="s">
        <v>444</v>
      </c>
      <c r="E4" s="21" t="s">
        <v>445</v>
      </c>
      <c r="F4" s="21"/>
      <c r="G4" s="19" t="s">
        <v>82</v>
      </c>
    </row>
    <row r="5" ht="42.0" customHeight="1">
      <c r="A5" s="22" t="s">
        <v>446</v>
      </c>
      <c r="B5" s="25" t="s">
        <v>447</v>
      </c>
      <c r="C5" s="23" t="s">
        <v>40</v>
      </c>
      <c r="D5" s="25" t="s">
        <v>448</v>
      </c>
      <c r="E5" s="25" t="s">
        <v>449</v>
      </c>
      <c r="F5" s="21"/>
      <c r="G5" s="19" t="s">
        <v>82</v>
      </c>
    </row>
    <row r="6" ht="42.0" customHeight="1">
      <c r="A6" s="15" t="s">
        <v>450</v>
      </c>
      <c r="B6" s="21" t="s">
        <v>451</v>
      </c>
      <c r="C6" s="16" t="s">
        <v>40</v>
      </c>
      <c r="D6" s="21" t="s">
        <v>452</v>
      </c>
      <c r="E6" s="21" t="s">
        <v>453</v>
      </c>
      <c r="F6" s="21"/>
      <c r="G6" s="19" t="s">
        <v>82</v>
      </c>
    </row>
    <row r="7" ht="42.0" customHeight="1">
      <c r="A7" s="22" t="s">
        <v>454</v>
      </c>
      <c r="B7" s="25" t="s">
        <v>455</v>
      </c>
      <c r="C7" s="23" t="s">
        <v>40</v>
      </c>
      <c r="D7" s="25" t="s">
        <v>456</v>
      </c>
      <c r="E7" s="25" t="s">
        <v>457</v>
      </c>
      <c r="F7" s="21"/>
      <c r="G7" s="19" t="s">
        <v>82</v>
      </c>
    </row>
    <row r="8" ht="42.0" customHeight="1">
      <c r="A8" s="15" t="s">
        <v>458</v>
      </c>
      <c r="B8" s="21" t="s">
        <v>459</v>
      </c>
      <c r="C8" s="16" t="s">
        <v>40</v>
      </c>
      <c r="D8" s="21" t="s">
        <v>460</v>
      </c>
      <c r="E8" s="21" t="s">
        <v>461</v>
      </c>
      <c r="F8" s="21"/>
      <c r="G8" s="19" t="s">
        <v>82</v>
      </c>
    </row>
    <row r="9" ht="42.0" customHeight="1">
      <c r="A9" s="22" t="s">
        <v>462</v>
      </c>
      <c r="B9" s="25" t="s">
        <v>463</v>
      </c>
      <c r="C9" s="23" t="s">
        <v>40</v>
      </c>
      <c r="D9" s="25" t="s">
        <v>464</v>
      </c>
      <c r="E9" s="25" t="s">
        <v>465</v>
      </c>
      <c r="F9" s="21"/>
      <c r="G9" s="19" t="s">
        <v>82</v>
      </c>
    </row>
    <row r="10" ht="42.0" customHeight="1">
      <c r="A10" s="15" t="s">
        <v>466</v>
      </c>
      <c r="B10" s="21" t="s">
        <v>467</v>
      </c>
      <c r="C10" s="16" t="s">
        <v>40</v>
      </c>
      <c r="D10" s="21" t="s">
        <v>468</v>
      </c>
      <c r="E10" s="21" t="s">
        <v>469</v>
      </c>
      <c r="F10" s="21"/>
      <c r="G10" s="19" t="s">
        <v>82</v>
      </c>
    </row>
    <row r="11" ht="42.0" customHeight="1">
      <c r="A11" s="22" t="s">
        <v>470</v>
      </c>
      <c r="B11" s="25" t="s">
        <v>471</v>
      </c>
      <c r="C11" s="23" t="s">
        <v>40</v>
      </c>
      <c r="D11" s="25" t="s">
        <v>472</v>
      </c>
      <c r="E11" s="25" t="s">
        <v>473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474</v>
      </c>
      <c r="B2" s="21" t="s">
        <v>475</v>
      </c>
      <c r="C2" s="16" t="s">
        <v>43</v>
      </c>
      <c r="D2" s="21" t="s">
        <v>476</v>
      </c>
      <c r="E2" s="21" t="s">
        <v>477</v>
      </c>
      <c r="F2" s="21"/>
      <c r="G2" s="19" t="s">
        <v>82</v>
      </c>
    </row>
    <row r="3" ht="42.0" customHeight="1">
      <c r="A3" s="22" t="s">
        <v>478</v>
      </c>
      <c r="B3" s="25" t="s">
        <v>479</v>
      </c>
      <c r="C3" s="23" t="s">
        <v>43</v>
      </c>
      <c r="D3" s="25" t="s">
        <v>480</v>
      </c>
      <c r="E3" s="25" t="s">
        <v>481</v>
      </c>
      <c r="F3" s="21"/>
      <c r="G3" s="19" t="s">
        <v>82</v>
      </c>
    </row>
    <row r="4" ht="42.0" customHeight="1">
      <c r="A4" s="15" t="s">
        <v>482</v>
      </c>
      <c r="B4" s="21" t="s">
        <v>483</v>
      </c>
      <c r="C4" s="16" t="s">
        <v>43</v>
      </c>
      <c r="D4" s="21" t="s">
        <v>484</v>
      </c>
      <c r="E4" s="21" t="s">
        <v>485</v>
      </c>
      <c r="F4" s="21"/>
      <c r="G4" s="19" t="s">
        <v>82</v>
      </c>
    </row>
    <row r="5" ht="42.0" customHeight="1">
      <c r="A5" s="22" t="s">
        <v>486</v>
      </c>
      <c r="B5" s="25" t="s">
        <v>487</v>
      </c>
      <c r="C5" s="23" t="s">
        <v>43</v>
      </c>
      <c r="D5" s="25" t="s">
        <v>488</v>
      </c>
      <c r="E5" s="25" t="s">
        <v>489</v>
      </c>
      <c r="F5" s="21"/>
      <c r="G5" s="19" t="s">
        <v>82</v>
      </c>
    </row>
    <row r="6" ht="42.0" customHeight="1">
      <c r="A6" s="15" t="s">
        <v>490</v>
      </c>
      <c r="B6" s="21" t="s">
        <v>491</v>
      </c>
      <c r="C6" s="16" t="s">
        <v>43</v>
      </c>
      <c r="D6" s="21" t="s">
        <v>492</v>
      </c>
      <c r="E6" s="21" t="s">
        <v>493</v>
      </c>
      <c r="F6" s="21"/>
      <c r="G6" s="19" t="s">
        <v>82</v>
      </c>
    </row>
    <row r="7" ht="42.0" customHeight="1">
      <c r="A7" s="22" t="s">
        <v>494</v>
      </c>
      <c r="B7" s="25" t="s">
        <v>495</v>
      </c>
      <c r="C7" s="23" t="s">
        <v>43</v>
      </c>
      <c r="D7" s="25" t="s">
        <v>496</v>
      </c>
      <c r="E7" s="25" t="s">
        <v>497</v>
      </c>
      <c r="F7" s="21"/>
      <c r="G7" s="19" t="s">
        <v>82</v>
      </c>
    </row>
    <row r="8" ht="42.0" customHeight="1">
      <c r="A8" s="15" t="s">
        <v>498</v>
      </c>
      <c r="B8" s="21" t="s">
        <v>495</v>
      </c>
      <c r="C8" s="16" t="s">
        <v>43</v>
      </c>
      <c r="D8" s="21" t="s">
        <v>499</v>
      </c>
      <c r="E8" s="21" t="s">
        <v>500</v>
      </c>
      <c r="F8" s="21"/>
      <c r="G8" s="19" t="s">
        <v>82</v>
      </c>
    </row>
    <row r="9" ht="42.0" customHeight="1">
      <c r="A9" s="22" t="s">
        <v>501</v>
      </c>
      <c r="B9" s="25" t="s">
        <v>502</v>
      </c>
      <c r="C9" s="23" t="s">
        <v>43</v>
      </c>
      <c r="D9" s="25" t="s">
        <v>503</v>
      </c>
      <c r="E9" s="25" t="s">
        <v>504</v>
      </c>
      <c r="F9" s="21"/>
      <c r="G9" s="19" t="s">
        <v>82</v>
      </c>
    </row>
    <row r="10" ht="42.0" customHeight="1">
      <c r="A10" s="15" t="s">
        <v>505</v>
      </c>
      <c r="B10" s="21" t="s">
        <v>506</v>
      </c>
      <c r="C10" s="16" t="s">
        <v>43</v>
      </c>
      <c r="D10" s="21" t="s">
        <v>507</v>
      </c>
      <c r="E10" s="21" t="s">
        <v>508</v>
      </c>
      <c r="F10" s="21"/>
      <c r="G10" s="19" t="s">
        <v>82</v>
      </c>
    </row>
    <row r="11" ht="42.0" customHeight="1">
      <c r="A11" s="22" t="s">
        <v>509</v>
      </c>
      <c r="B11" s="25" t="s">
        <v>510</v>
      </c>
      <c r="C11" s="23" t="s">
        <v>43</v>
      </c>
      <c r="D11" s="25" t="s">
        <v>511</v>
      </c>
      <c r="E11" s="25" t="s">
        <v>512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513</v>
      </c>
      <c r="B2" s="21" t="s">
        <v>514</v>
      </c>
      <c r="C2" s="16" t="s">
        <v>46</v>
      </c>
      <c r="D2" s="21" t="s">
        <v>515</v>
      </c>
      <c r="E2" s="21" t="s">
        <v>516</v>
      </c>
      <c r="F2" s="21"/>
      <c r="G2" s="19" t="s">
        <v>82</v>
      </c>
    </row>
    <row r="3" ht="42.0" customHeight="1">
      <c r="A3" s="22" t="s">
        <v>517</v>
      </c>
      <c r="B3" s="25" t="s">
        <v>518</v>
      </c>
      <c r="C3" s="23" t="s">
        <v>46</v>
      </c>
      <c r="D3" s="25" t="s">
        <v>519</v>
      </c>
      <c r="E3" s="25" t="s">
        <v>520</v>
      </c>
      <c r="F3" s="21"/>
      <c r="G3" s="19" t="s">
        <v>82</v>
      </c>
    </row>
    <row r="4" ht="42.0" customHeight="1">
      <c r="A4" s="15" t="s">
        <v>521</v>
      </c>
      <c r="B4" s="21" t="s">
        <v>522</v>
      </c>
      <c r="C4" s="16" t="s">
        <v>46</v>
      </c>
      <c r="D4" s="21" t="s">
        <v>523</v>
      </c>
      <c r="E4" s="21" t="s">
        <v>524</v>
      </c>
      <c r="F4" s="21"/>
      <c r="G4" s="19" t="s">
        <v>82</v>
      </c>
    </row>
    <row r="5" ht="42.0" customHeight="1">
      <c r="A5" s="22" t="s">
        <v>525</v>
      </c>
      <c r="B5" s="25" t="s">
        <v>522</v>
      </c>
      <c r="C5" s="23" t="s">
        <v>46</v>
      </c>
      <c r="D5" s="25" t="s">
        <v>526</v>
      </c>
      <c r="E5" s="25" t="s">
        <v>527</v>
      </c>
      <c r="F5" s="21"/>
      <c r="G5" s="19" t="s">
        <v>82</v>
      </c>
    </row>
    <row r="6" ht="42.0" customHeight="1">
      <c r="A6" s="15" t="s">
        <v>528</v>
      </c>
      <c r="B6" s="21" t="s">
        <v>522</v>
      </c>
      <c r="C6" s="16" t="s">
        <v>46</v>
      </c>
      <c r="D6" s="21" t="s">
        <v>529</v>
      </c>
      <c r="E6" s="21" t="s">
        <v>530</v>
      </c>
      <c r="F6" s="21"/>
      <c r="G6" s="19" t="s">
        <v>82</v>
      </c>
    </row>
    <row r="7" ht="42.0" customHeight="1">
      <c r="A7" s="22" t="s">
        <v>531</v>
      </c>
      <c r="B7" s="25" t="s">
        <v>532</v>
      </c>
      <c r="C7" s="23" t="s">
        <v>46</v>
      </c>
      <c r="D7" s="25" t="s">
        <v>533</v>
      </c>
      <c r="E7" s="25" t="s">
        <v>534</v>
      </c>
      <c r="F7" s="21"/>
      <c r="G7" s="19" t="s">
        <v>82</v>
      </c>
    </row>
    <row r="8" ht="42.0" customHeight="1">
      <c r="A8" s="15" t="s">
        <v>535</v>
      </c>
      <c r="B8" s="21" t="s">
        <v>536</v>
      </c>
      <c r="C8" s="16" t="s">
        <v>46</v>
      </c>
      <c r="D8" s="21" t="s">
        <v>537</v>
      </c>
      <c r="E8" s="21" t="s">
        <v>538</v>
      </c>
      <c r="F8" s="21"/>
      <c r="G8" s="19" t="s">
        <v>82</v>
      </c>
    </row>
    <row r="9" ht="42.0" customHeight="1">
      <c r="A9" s="22" t="s">
        <v>539</v>
      </c>
      <c r="B9" s="25" t="s">
        <v>495</v>
      </c>
      <c r="C9" s="23" t="s">
        <v>46</v>
      </c>
      <c r="D9" s="25" t="s">
        <v>540</v>
      </c>
      <c r="E9" s="25" t="s">
        <v>541</v>
      </c>
      <c r="F9" s="21"/>
      <c r="G9" s="19" t="s">
        <v>82</v>
      </c>
    </row>
    <row r="10" ht="42.0" customHeight="1">
      <c r="A10" s="15" t="s">
        <v>542</v>
      </c>
      <c r="B10" s="21" t="s">
        <v>543</v>
      </c>
      <c r="C10" s="16" t="s">
        <v>46</v>
      </c>
      <c r="D10" s="21" t="s">
        <v>544</v>
      </c>
      <c r="E10" s="21" t="s">
        <v>545</v>
      </c>
      <c r="F10" s="21"/>
      <c r="G10" s="19" t="s">
        <v>82</v>
      </c>
    </row>
    <row r="11" ht="42.0" customHeight="1">
      <c r="A11" s="22" t="s">
        <v>546</v>
      </c>
      <c r="B11" s="25" t="s">
        <v>547</v>
      </c>
      <c r="C11" s="23" t="s">
        <v>46</v>
      </c>
      <c r="D11" s="25" t="s">
        <v>548</v>
      </c>
      <c r="E11" s="25" t="s">
        <v>549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550</v>
      </c>
      <c r="B2" s="21" t="s">
        <v>551</v>
      </c>
      <c r="C2" s="16" t="s">
        <v>49</v>
      </c>
      <c r="D2" s="21" t="s">
        <v>552</v>
      </c>
      <c r="E2" s="21" t="s">
        <v>553</v>
      </c>
      <c r="F2" s="21"/>
      <c r="G2" s="19" t="s">
        <v>82</v>
      </c>
    </row>
    <row r="3" ht="42.0" customHeight="1">
      <c r="A3" s="22" t="s">
        <v>554</v>
      </c>
      <c r="B3" s="25" t="s">
        <v>555</v>
      </c>
      <c r="C3" s="23" t="s">
        <v>49</v>
      </c>
      <c r="D3" s="25" t="s">
        <v>556</v>
      </c>
      <c r="E3" s="25" t="s">
        <v>557</v>
      </c>
      <c r="F3" s="21"/>
      <c r="G3" s="19" t="s">
        <v>82</v>
      </c>
    </row>
    <row r="4" ht="42.0" customHeight="1">
      <c r="A4" s="15" t="s">
        <v>558</v>
      </c>
      <c r="B4" s="21" t="s">
        <v>221</v>
      </c>
      <c r="C4" s="16" t="s">
        <v>49</v>
      </c>
      <c r="D4" s="21" t="s">
        <v>559</v>
      </c>
      <c r="E4" s="21" t="s">
        <v>560</v>
      </c>
      <c r="F4" s="21"/>
      <c r="G4" s="19" t="s">
        <v>82</v>
      </c>
    </row>
    <row r="5" ht="42.0" customHeight="1">
      <c r="A5" s="22" t="s">
        <v>561</v>
      </c>
      <c r="B5" s="25" t="s">
        <v>562</v>
      </c>
      <c r="C5" s="23" t="s">
        <v>49</v>
      </c>
      <c r="D5" s="25" t="s">
        <v>563</v>
      </c>
      <c r="E5" s="25" t="s">
        <v>564</v>
      </c>
      <c r="F5" s="21"/>
      <c r="G5" s="19" t="s">
        <v>82</v>
      </c>
    </row>
    <row r="6" ht="42.0" customHeight="1">
      <c r="A6" s="15" t="s">
        <v>565</v>
      </c>
      <c r="B6" s="21" t="s">
        <v>566</v>
      </c>
      <c r="C6" s="16" t="s">
        <v>49</v>
      </c>
      <c r="D6" s="21" t="s">
        <v>567</v>
      </c>
      <c r="E6" s="21" t="s">
        <v>568</v>
      </c>
      <c r="F6" s="21"/>
      <c r="G6" s="19" t="s">
        <v>82</v>
      </c>
    </row>
    <row r="7" ht="42.0" customHeight="1">
      <c r="A7" s="22" t="s">
        <v>569</v>
      </c>
      <c r="B7" s="25" t="s">
        <v>570</v>
      </c>
      <c r="C7" s="23" t="s">
        <v>49</v>
      </c>
      <c r="D7" s="25" t="s">
        <v>571</v>
      </c>
      <c r="E7" s="25" t="s">
        <v>572</v>
      </c>
      <c r="F7" s="21"/>
      <c r="G7" s="19" t="s">
        <v>82</v>
      </c>
    </row>
    <row r="8" ht="42.0" customHeight="1">
      <c r="A8" s="15" t="s">
        <v>573</v>
      </c>
      <c r="B8" s="21" t="s">
        <v>574</v>
      </c>
      <c r="C8" s="16" t="s">
        <v>49</v>
      </c>
      <c r="D8" s="21" t="s">
        <v>575</v>
      </c>
      <c r="E8" s="21" t="s">
        <v>576</v>
      </c>
      <c r="F8" s="21"/>
      <c r="G8" s="19" t="s">
        <v>82</v>
      </c>
    </row>
    <row r="9" ht="42.0" customHeight="1">
      <c r="A9" s="22" t="s">
        <v>577</v>
      </c>
      <c r="B9" s="25" t="s">
        <v>578</v>
      </c>
      <c r="C9" s="23" t="s">
        <v>49</v>
      </c>
      <c r="D9" s="25" t="s">
        <v>579</v>
      </c>
      <c r="E9" s="25" t="s">
        <v>580</v>
      </c>
      <c r="F9" s="21"/>
      <c r="G9" s="19" t="s">
        <v>82</v>
      </c>
    </row>
    <row r="10" ht="42.0" customHeight="1">
      <c r="A10" s="15" t="s">
        <v>581</v>
      </c>
      <c r="B10" s="21" t="s">
        <v>582</v>
      </c>
      <c r="C10" s="16" t="s">
        <v>49</v>
      </c>
      <c r="D10" s="21" t="s">
        <v>583</v>
      </c>
      <c r="E10" s="21" t="s">
        <v>584</v>
      </c>
      <c r="F10" s="21"/>
      <c r="G10" s="19" t="s">
        <v>82</v>
      </c>
    </row>
    <row r="11" ht="42.0" customHeight="1">
      <c r="A11" s="22" t="s">
        <v>585</v>
      </c>
      <c r="B11" s="25" t="s">
        <v>586</v>
      </c>
      <c r="C11" s="23" t="s">
        <v>49</v>
      </c>
      <c r="D11" s="25" t="s">
        <v>587</v>
      </c>
      <c r="E11" s="25" t="s">
        <v>588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589</v>
      </c>
      <c r="B2" s="21" t="s">
        <v>590</v>
      </c>
      <c r="C2" s="16" t="s">
        <v>52</v>
      </c>
      <c r="D2" s="21" t="s">
        <v>591</v>
      </c>
      <c r="E2" s="21" t="s">
        <v>592</v>
      </c>
      <c r="F2" s="21"/>
      <c r="G2" s="19" t="s">
        <v>82</v>
      </c>
    </row>
    <row r="3" ht="42.0" customHeight="1">
      <c r="A3" s="22" t="s">
        <v>593</v>
      </c>
      <c r="B3" s="25" t="s">
        <v>594</v>
      </c>
      <c r="C3" s="23" t="s">
        <v>52</v>
      </c>
      <c r="D3" s="25" t="s">
        <v>595</v>
      </c>
      <c r="E3" s="25" t="s">
        <v>596</v>
      </c>
      <c r="F3" s="21"/>
      <c r="G3" s="19" t="s">
        <v>82</v>
      </c>
    </row>
    <row r="4" ht="42.0" customHeight="1">
      <c r="A4" s="15" t="s">
        <v>597</v>
      </c>
      <c r="B4" s="21" t="s">
        <v>598</v>
      </c>
      <c r="C4" s="16" t="s">
        <v>52</v>
      </c>
      <c r="D4" s="21" t="s">
        <v>599</v>
      </c>
      <c r="E4" s="21" t="s">
        <v>600</v>
      </c>
      <c r="F4" s="21"/>
      <c r="G4" s="19" t="s">
        <v>82</v>
      </c>
    </row>
    <row r="5" ht="42.0" customHeight="1">
      <c r="A5" s="22" t="s">
        <v>601</v>
      </c>
      <c r="B5" s="25" t="s">
        <v>487</v>
      </c>
      <c r="C5" s="23" t="s">
        <v>52</v>
      </c>
      <c r="D5" s="25" t="s">
        <v>602</v>
      </c>
      <c r="E5" s="25" t="s">
        <v>603</v>
      </c>
      <c r="F5" s="21"/>
      <c r="G5" s="19" t="s">
        <v>82</v>
      </c>
    </row>
    <row r="6" ht="42.0" customHeight="1">
      <c r="A6" s="15" t="s">
        <v>604</v>
      </c>
      <c r="B6" s="21" t="s">
        <v>605</v>
      </c>
      <c r="C6" s="16" t="s">
        <v>52</v>
      </c>
      <c r="D6" s="21" t="s">
        <v>606</v>
      </c>
      <c r="E6" s="21" t="s">
        <v>607</v>
      </c>
      <c r="F6" s="21"/>
      <c r="G6" s="19" t="s">
        <v>82</v>
      </c>
    </row>
    <row r="7" ht="42.0" customHeight="1">
      <c r="A7" s="22" t="s">
        <v>608</v>
      </c>
      <c r="B7" s="25" t="s">
        <v>502</v>
      </c>
      <c r="C7" s="23" t="s">
        <v>52</v>
      </c>
      <c r="D7" s="25" t="s">
        <v>609</v>
      </c>
      <c r="E7" s="25" t="s">
        <v>610</v>
      </c>
      <c r="F7" s="21"/>
      <c r="G7" s="19" t="s">
        <v>82</v>
      </c>
    </row>
    <row r="8" ht="42.0" customHeight="1">
      <c r="A8" s="15" t="s">
        <v>611</v>
      </c>
      <c r="B8" s="21" t="s">
        <v>612</v>
      </c>
      <c r="C8" s="16" t="s">
        <v>52</v>
      </c>
      <c r="D8" s="21" t="s">
        <v>613</v>
      </c>
      <c r="E8" s="21" t="s">
        <v>614</v>
      </c>
      <c r="F8" s="21"/>
      <c r="G8" s="19" t="s">
        <v>82</v>
      </c>
    </row>
    <row r="9" ht="42.0" customHeight="1">
      <c r="A9" s="22" t="s">
        <v>615</v>
      </c>
      <c r="B9" s="25" t="s">
        <v>616</v>
      </c>
      <c r="C9" s="23" t="s">
        <v>52</v>
      </c>
      <c r="D9" s="25" t="s">
        <v>617</v>
      </c>
      <c r="E9" s="25" t="s">
        <v>618</v>
      </c>
      <c r="F9" s="21"/>
      <c r="G9" s="19" t="s">
        <v>82</v>
      </c>
    </row>
    <row r="10" ht="42.0" customHeight="1">
      <c r="A10" s="15" t="s">
        <v>619</v>
      </c>
      <c r="B10" s="21" t="s">
        <v>620</v>
      </c>
      <c r="C10" s="16" t="s">
        <v>52</v>
      </c>
      <c r="D10" s="21" t="s">
        <v>621</v>
      </c>
      <c r="E10" s="21" t="s">
        <v>622</v>
      </c>
      <c r="F10" s="21"/>
      <c r="G10" s="19" t="s">
        <v>82</v>
      </c>
    </row>
    <row r="11" ht="42.0" customHeight="1">
      <c r="A11" s="22" t="s">
        <v>623</v>
      </c>
      <c r="B11" s="25" t="s">
        <v>624</v>
      </c>
      <c r="C11" s="23" t="s">
        <v>52</v>
      </c>
      <c r="D11" s="25" t="s">
        <v>625</v>
      </c>
      <c r="E11" s="25" t="s">
        <v>626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627</v>
      </c>
      <c r="B2" s="21" t="s">
        <v>628</v>
      </c>
      <c r="C2" s="16" t="s">
        <v>55</v>
      </c>
      <c r="D2" s="21" t="s">
        <v>629</v>
      </c>
      <c r="E2" s="21" t="s">
        <v>630</v>
      </c>
      <c r="F2" s="21"/>
      <c r="G2" s="19" t="s">
        <v>82</v>
      </c>
    </row>
    <row r="3" ht="42.0" customHeight="1">
      <c r="A3" s="22" t="s">
        <v>631</v>
      </c>
      <c r="B3" s="25" t="s">
        <v>628</v>
      </c>
      <c r="C3" s="23" t="s">
        <v>55</v>
      </c>
      <c r="D3" s="25" t="s">
        <v>632</v>
      </c>
      <c r="E3" s="25" t="s">
        <v>633</v>
      </c>
      <c r="F3" s="21"/>
      <c r="G3" s="19" t="s">
        <v>82</v>
      </c>
    </row>
    <row r="4" ht="42.0" customHeight="1">
      <c r="A4" s="15" t="s">
        <v>634</v>
      </c>
      <c r="B4" s="21" t="s">
        <v>628</v>
      </c>
      <c r="C4" s="16" t="s">
        <v>55</v>
      </c>
      <c r="D4" s="21" t="s">
        <v>635</v>
      </c>
      <c r="E4" s="21" t="s">
        <v>636</v>
      </c>
      <c r="F4" s="21"/>
      <c r="G4" s="19" t="s">
        <v>82</v>
      </c>
    </row>
    <row r="5" ht="42.0" customHeight="1">
      <c r="A5" s="22" t="s">
        <v>637</v>
      </c>
      <c r="B5" s="25" t="s">
        <v>638</v>
      </c>
      <c r="C5" s="23" t="s">
        <v>55</v>
      </c>
      <c r="D5" s="25" t="s">
        <v>639</v>
      </c>
      <c r="E5" s="25" t="s">
        <v>640</v>
      </c>
      <c r="F5" s="21"/>
      <c r="G5" s="19" t="s">
        <v>82</v>
      </c>
    </row>
    <row r="6" ht="42.0" customHeight="1">
      <c r="A6" s="15" t="s">
        <v>641</v>
      </c>
      <c r="B6" s="21" t="s">
        <v>642</v>
      </c>
      <c r="C6" s="16" t="s">
        <v>55</v>
      </c>
      <c r="D6" s="21" t="s">
        <v>643</v>
      </c>
      <c r="E6" s="21" t="s">
        <v>644</v>
      </c>
      <c r="F6" s="21"/>
      <c r="G6" s="19" t="s">
        <v>82</v>
      </c>
    </row>
    <row r="7" ht="42.0" customHeight="1">
      <c r="A7" s="22" t="s">
        <v>645</v>
      </c>
      <c r="B7" s="25" t="s">
        <v>646</v>
      </c>
      <c r="C7" s="23" t="s">
        <v>55</v>
      </c>
      <c r="D7" s="25" t="s">
        <v>647</v>
      </c>
      <c r="E7" s="25" t="s">
        <v>648</v>
      </c>
      <c r="F7" s="21"/>
      <c r="G7" s="19" t="s">
        <v>82</v>
      </c>
    </row>
    <row r="8" ht="42.0" customHeight="1">
      <c r="A8" s="15" t="s">
        <v>649</v>
      </c>
      <c r="B8" s="21" t="s">
        <v>202</v>
      </c>
      <c r="C8" s="16" t="s">
        <v>55</v>
      </c>
      <c r="D8" s="21" t="s">
        <v>650</v>
      </c>
      <c r="E8" s="21" t="s">
        <v>651</v>
      </c>
      <c r="F8" s="21"/>
      <c r="G8" s="19" t="s">
        <v>82</v>
      </c>
    </row>
    <row r="9" ht="42.0" customHeight="1">
      <c r="A9" s="22" t="s">
        <v>652</v>
      </c>
      <c r="B9" s="25" t="s">
        <v>653</v>
      </c>
      <c r="C9" s="23" t="s">
        <v>55</v>
      </c>
      <c r="D9" s="25" t="s">
        <v>654</v>
      </c>
      <c r="E9" s="25" t="s">
        <v>655</v>
      </c>
      <c r="F9" s="21"/>
      <c r="G9" s="19" t="s">
        <v>82</v>
      </c>
    </row>
    <row r="10" ht="42.0" customHeight="1">
      <c r="A10" s="15" t="s">
        <v>656</v>
      </c>
      <c r="B10" s="21" t="s">
        <v>657</v>
      </c>
      <c r="C10" s="16" t="s">
        <v>55</v>
      </c>
      <c r="D10" s="21" t="s">
        <v>658</v>
      </c>
      <c r="E10" s="21" t="s">
        <v>659</v>
      </c>
      <c r="F10" s="21"/>
      <c r="G10" s="19" t="s">
        <v>82</v>
      </c>
    </row>
    <row r="11" ht="42.0" customHeight="1">
      <c r="A11" s="22" t="s">
        <v>660</v>
      </c>
      <c r="B11" s="25" t="s">
        <v>661</v>
      </c>
      <c r="C11" s="23" t="s">
        <v>55</v>
      </c>
      <c r="D11" s="25" t="s">
        <v>662</v>
      </c>
      <c r="E11" s="25" t="s">
        <v>663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664</v>
      </c>
      <c r="B2" s="21" t="s">
        <v>665</v>
      </c>
      <c r="C2" s="16" t="s">
        <v>666</v>
      </c>
      <c r="D2" s="21" t="s">
        <v>667</v>
      </c>
      <c r="E2" s="21" t="s">
        <v>668</v>
      </c>
      <c r="F2" s="21"/>
      <c r="G2" s="19" t="s">
        <v>82</v>
      </c>
    </row>
    <row r="3" ht="42.0" customHeight="1">
      <c r="A3" s="22" t="s">
        <v>669</v>
      </c>
      <c r="B3" s="25" t="s">
        <v>670</v>
      </c>
      <c r="C3" s="23" t="s">
        <v>666</v>
      </c>
      <c r="D3" s="25" t="s">
        <v>671</v>
      </c>
      <c r="E3" s="25" t="s">
        <v>672</v>
      </c>
      <c r="F3" s="21"/>
      <c r="G3" s="19" t="s">
        <v>82</v>
      </c>
    </row>
    <row r="4" ht="42.0" customHeight="1">
      <c r="A4" s="15" t="s">
        <v>673</v>
      </c>
      <c r="B4" s="21" t="s">
        <v>674</v>
      </c>
      <c r="C4" s="16" t="s">
        <v>666</v>
      </c>
      <c r="D4" s="21" t="s">
        <v>675</v>
      </c>
      <c r="E4" s="21" t="s">
        <v>676</v>
      </c>
      <c r="F4" s="21"/>
      <c r="G4" s="19" t="s">
        <v>82</v>
      </c>
    </row>
    <row r="5" ht="42.0" customHeight="1">
      <c r="A5" s="22" t="s">
        <v>677</v>
      </c>
      <c r="B5" s="25" t="s">
        <v>678</v>
      </c>
      <c r="C5" s="23" t="s">
        <v>666</v>
      </c>
      <c r="D5" s="25" t="s">
        <v>679</v>
      </c>
      <c r="E5" s="25" t="s">
        <v>680</v>
      </c>
      <c r="F5" s="21"/>
      <c r="G5" s="19" t="s">
        <v>82</v>
      </c>
    </row>
    <row r="6" ht="42.0" customHeight="1">
      <c r="A6" s="15" t="s">
        <v>681</v>
      </c>
      <c r="B6" s="21" t="s">
        <v>682</v>
      </c>
      <c r="C6" s="16" t="s">
        <v>666</v>
      </c>
      <c r="D6" s="21" t="s">
        <v>683</v>
      </c>
      <c r="E6" s="21" t="s">
        <v>684</v>
      </c>
      <c r="F6" s="21"/>
      <c r="G6" s="19" t="s">
        <v>82</v>
      </c>
    </row>
    <row r="7" ht="42.0" customHeight="1">
      <c r="A7" s="22" t="s">
        <v>685</v>
      </c>
      <c r="B7" s="25" t="s">
        <v>686</v>
      </c>
      <c r="C7" s="23" t="s">
        <v>666</v>
      </c>
      <c r="D7" s="25" t="s">
        <v>687</v>
      </c>
      <c r="E7" s="25" t="s">
        <v>688</v>
      </c>
      <c r="F7" s="21"/>
      <c r="G7" s="19" t="s">
        <v>82</v>
      </c>
    </row>
    <row r="8" ht="42.0" customHeight="1">
      <c r="A8" s="15" t="s">
        <v>689</v>
      </c>
      <c r="B8" s="21" t="s">
        <v>690</v>
      </c>
      <c r="C8" s="16" t="s">
        <v>666</v>
      </c>
      <c r="D8" s="21" t="s">
        <v>691</v>
      </c>
      <c r="E8" s="21" t="s">
        <v>692</v>
      </c>
      <c r="F8" s="21"/>
      <c r="G8" s="19" t="s">
        <v>82</v>
      </c>
    </row>
    <row r="9" ht="42.0" customHeight="1">
      <c r="A9" s="22" t="s">
        <v>693</v>
      </c>
      <c r="B9" s="25" t="s">
        <v>694</v>
      </c>
      <c r="C9" s="23" t="s">
        <v>666</v>
      </c>
      <c r="D9" s="25" t="s">
        <v>695</v>
      </c>
      <c r="E9" s="25" t="s">
        <v>696</v>
      </c>
      <c r="F9" s="21"/>
      <c r="G9" s="19" t="s">
        <v>82</v>
      </c>
    </row>
    <row r="10" ht="42.0" customHeight="1">
      <c r="A10" s="15" t="s">
        <v>697</v>
      </c>
      <c r="B10" s="21" t="s">
        <v>698</v>
      </c>
      <c r="C10" s="16" t="s">
        <v>666</v>
      </c>
      <c r="D10" s="21" t="s">
        <v>699</v>
      </c>
      <c r="E10" s="21" t="s">
        <v>700</v>
      </c>
      <c r="F10" s="21"/>
      <c r="G10" s="19" t="s">
        <v>82</v>
      </c>
    </row>
    <row r="11" ht="42.0" customHeight="1">
      <c r="A11" s="22" t="s">
        <v>701</v>
      </c>
      <c r="B11" s="25" t="s">
        <v>702</v>
      </c>
      <c r="C11" s="23" t="s">
        <v>666</v>
      </c>
      <c r="D11" s="25" t="s">
        <v>703</v>
      </c>
      <c r="E11" s="25" t="s">
        <v>704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705</v>
      </c>
      <c r="B2" s="21" t="s">
        <v>706</v>
      </c>
      <c r="C2" s="16" t="s">
        <v>707</v>
      </c>
      <c r="D2" s="21" t="s">
        <v>708</v>
      </c>
      <c r="E2" s="21" t="s">
        <v>709</v>
      </c>
      <c r="F2" s="21"/>
      <c r="G2" s="19" t="s">
        <v>82</v>
      </c>
    </row>
    <row r="3" ht="42.0" customHeight="1">
      <c r="A3" s="22" t="s">
        <v>710</v>
      </c>
      <c r="B3" s="25" t="s">
        <v>711</v>
      </c>
      <c r="C3" s="23" t="s">
        <v>707</v>
      </c>
      <c r="D3" s="25" t="s">
        <v>712</v>
      </c>
      <c r="E3" s="25" t="s">
        <v>713</v>
      </c>
      <c r="F3" s="21"/>
      <c r="G3" s="19" t="s">
        <v>82</v>
      </c>
    </row>
    <row r="4" ht="42.0" customHeight="1">
      <c r="A4" s="15" t="s">
        <v>714</v>
      </c>
      <c r="B4" s="21" t="s">
        <v>487</v>
      </c>
      <c r="C4" s="16" t="s">
        <v>707</v>
      </c>
      <c r="D4" s="21" t="s">
        <v>715</v>
      </c>
      <c r="E4" s="21" t="s">
        <v>716</v>
      </c>
      <c r="F4" s="21"/>
      <c r="G4" s="19" t="s">
        <v>82</v>
      </c>
    </row>
    <row r="5" ht="42.0" customHeight="1">
      <c r="A5" s="22" t="s">
        <v>717</v>
      </c>
      <c r="B5" s="25" t="s">
        <v>718</v>
      </c>
      <c r="C5" s="23" t="s">
        <v>707</v>
      </c>
      <c r="D5" s="25" t="s">
        <v>719</v>
      </c>
      <c r="E5" s="25" t="s">
        <v>720</v>
      </c>
      <c r="F5" s="21"/>
      <c r="G5" s="19" t="s">
        <v>82</v>
      </c>
    </row>
    <row r="6" ht="42.0" customHeight="1">
      <c r="A6" s="15" t="s">
        <v>721</v>
      </c>
      <c r="B6" s="21" t="s">
        <v>718</v>
      </c>
      <c r="C6" s="16" t="s">
        <v>707</v>
      </c>
      <c r="D6" s="21" t="s">
        <v>722</v>
      </c>
      <c r="E6" s="21" t="s">
        <v>723</v>
      </c>
      <c r="F6" s="21"/>
      <c r="G6" s="19" t="s">
        <v>82</v>
      </c>
    </row>
    <row r="7" ht="42.0" customHeight="1">
      <c r="A7" s="22" t="s">
        <v>724</v>
      </c>
      <c r="B7" s="25" t="s">
        <v>725</v>
      </c>
      <c r="C7" s="23" t="s">
        <v>707</v>
      </c>
      <c r="D7" s="25" t="s">
        <v>726</v>
      </c>
      <c r="E7" s="25" t="s">
        <v>727</v>
      </c>
      <c r="F7" s="21"/>
      <c r="G7" s="19" t="s">
        <v>82</v>
      </c>
    </row>
    <row r="8" ht="42.0" customHeight="1">
      <c r="A8" s="15" t="s">
        <v>728</v>
      </c>
      <c r="B8" s="21" t="s">
        <v>729</v>
      </c>
      <c r="C8" s="16" t="s">
        <v>707</v>
      </c>
      <c r="D8" s="21" t="s">
        <v>730</v>
      </c>
      <c r="E8" s="21" t="s">
        <v>731</v>
      </c>
      <c r="F8" s="21"/>
      <c r="G8" s="19" t="s">
        <v>82</v>
      </c>
    </row>
    <row r="9" ht="42.0" customHeight="1">
      <c r="A9" s="22" t="s">
        <v>732</v>
      </c>
      <c r="B9" s="25" t="s">
        <v>733</v>
      </c>
      <c r="C9" s="23" t="s">
        <v>707</v>
      </c>
      <c r="D9" s="25" t="s">
        <v>734</v>
      </c>
      <c r="E9" s="25" t="s">
        <v>735</v>
      </c>
      <c r="F9" s="21"/>
      <c r="G9" s="19" t="s">
        <v>82</v>
      </c>
    </row>
    <row r="10" ht="42.0" customHeight="1">
      <c r="A10" s="15" t="s">
        <v>736</v>
      </c>
      <c r="B10" s="21" t="s">
        <v>737</v>
      </c>
      <c r="C10" s="16" t="s">
        <v>707</v>
      </c>
      <c r="D10" s="21" t="s">
        <v>738</v>
      </c>
      <c r="E10" s="21" t="s">
        <v>739</v>
      </c>
      <c r="F10" s="21"/>
      <c r="G10" s="19" t="s">
        <v>82</v>
      </c>
    </row>
    <row r="11" ht="42.0" customHeight="1">
      <c r="A11" s="22" t="s">
        <v>740</v>
      </c>
      <c r="B11" s="25" t="s">
        <v>274</v>
      </c>
      <c r="C11" s="23" t="s">
        <v>707</v>
      </c>
      <c r="D11" s="25" t="s">
        <v>741</v>
      </c>
      <c r="E11" s="25" t="s">
        <v>742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5.0"/>
    <col customWidth="1" min="3" max="3" width="22.0"/>
    <col customWidth="1" min="4" max="5" width="48.0"/>
    <col customWidth="1" min="6" max="6" width="46.0"/>
    <col customWidth="1" min="7" max="7" width="15.0"/>
    <col customWidth="1" min="8" max="26" width="8.71"/>
  </cols>
  <sheetData>
    <row r="1" ht="27.75" customHeight="1">
      <c r="A1" s="14" t="s">
        <v>70</v>
      </c>
      <c r="B1" s="14" t="s">
        <v>71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</row>
    <row r="2" ht="42.0" customHeight="1">
      <c r="A2" s="15" t="s">
        <v>743</v>
      </c>
      <c r="B2" s="21" t="s">
        <v>744</v>
      </c>
      <c r="C2" s="16" t="s">
        <v>745</v>
      </c>
      <c r="D2" s="21" t="s">
        <v>746</v>
      </c>
      <c r="E2" s="21" t="s">
        <v>747</v>
      </c>
      <c r="F2" s="21"/>
      <c r="G2" s="19" t="s">
        <v>82</v>
      </c>
    </row>
    <row r="3" ht="42.0" customHeight="1">
      <c r="A3" s="22" t="s">
        <v>748</v>
      </c>
      <c r="B3" s="25" t="s">
        <v>749</v>
      </c>
      <c r="C3" s="23" t="s">
        <v>745</v>
      </c>
      <c r="D3" s="25" t="s">
        <v>750</v>
      </c>
      <c r="E3" s="25" t="s">
        <v>751</v>
      </c>
      <c r="F3" s="21"/>
      <c r="G3" s="19" t="s">
        <v>82</v>
      </c>
    </row>
    <row r="4" ht="42.0" customHeight="1">
      <c r="A4" s="15" t="s">
        <v>752</v>
      </c>
      <c r="B4" s="21" t="s">
        <v>753</v>
      </c>
      <c r="C4" s="16" t="s">
        <v>745</v>
      </c>
      <c r="D4" s="21" t="s">
        <v>754</v>
      </c>
      <c r="E4" s="21" t="s">
        <v>755</v>
      </c>
      <c r="F4" s="21"/>
      <c r="G4" s="19" t="s">
        <v>82</v>
      </c>
    </row>
    <row r="5" ht="42.0" customHeight="1">
      <c r="A5" s="22" t="s">
        <v>756</v>
      </c>
      <c r="B5" s="25" t="s">
        <v>757</v>
      </c>
      <c r="C5" s="23" t="s">
        <v>745</v>
      </c>
      <c r="D5" s="25" t="s">
        <v>758</v>
      </c>
      <c r="E5" s="25" t="s">
        <v>759</v>
      </c>
      <c r="F5" s="21"/>
      <c r="G5" s="19" t="s">
        <v>82</v>
      </c>
    </row>
    <row r="6" ht="42.0" customHeight="1">
      <c r="A6" s="15" t="s">
        <v>760</v>
      </c>
      <c r="B6" s="21" t="s">
        <v>761</v>
      </c>
      <c r="C6" s="16" t="s">
        <v>745</v>
      </c>
      <c r="D6" s="21" t="s">
        <v>762</v>
      </c>
      <c r="E6" s="21" t="s">
        <v>763</v>
      </c>
      <c r="F6" s="21"/>
      <c r="G6" s="19" t="s">
        <v>82</v>
      </c>
    </row>
    <row r="7" ht="42.0" customHeight="1">
      <c r="A7" s="22" t="s">
        <v>764</v>
      </c>
      <c r="B7" s="25" t="s">
        <v>765</v>
      </c>
      <c r="C7" s="23" t="s">
        <v>745</v>
      </c>
      <c r="D7" s="25" t="s">
        <v>766</v>
      </c>
      <c r="E7" s="25" t="s">
        <v>767</v>
      </c>
      <c r="F7" s="21"/>
      <c r="G7" s="19" t="s">
        <v>82</v>
      </c>
    </row>
    <row r="8" ht="42.0" customHeight="1">
      <c r="A8" s="15" t="s">
        <v>768</v>
      </c>
      <c r="B8" s="21" t="s">
        <v>769</v>
      </c>
      <c r="C8" s="16" t="s">
        <v>745</v>
      </c>
      <c r="D8" s="21" t="s">
        <v>770</v>
      </c>
      <c r="E8" s="21" t="s">
        <v>771</v>
      </c>
      <c r="F8" s="21"/>
      <c r="G8" s="19" t="s">
        <v>82</v>
      </c>
    </row>
    <row r="9" ht="42.0" customHeight="1">
      <c r="A9" s="22" t="s">
        <v>772</v>
      </c>
      <c r="B9" s="25" t="s">
        <v>773</v>
      </c>
      <c r="C9" s="23" t="s">
        <v>745</v>
      </c>
      <c r="D9" s="25" t="s">
        <v>774</v>
      </c>
      <c r="E9" s="25" t="s">
        <v>775</v>
      </c>
      <c r="F9" s="21"/>
      <c r="G9" s="19" t="s">
        <v>82</v>
      </c>
    </row>
    <row r="10" ht="42.0" customHeight="1">
      <c r="A10" s="15" t="s">
        <v>776</v>
      </c>
      <c r="B10" s="21" t="s">
        <v>777</v>
      </c>
      <c r="C10" s="16" t="s">
        <v>745</v>
      </c>
      <c r="D10" s="21" t="s">
        <v>778</v>
      </c>
      <c r="E10" s="21" t="s">
        <v>779</v>
      </c>
      <c r="F10" s="21"/>
      <c r="G10" s="19" t="s">
        <v>82</v>
      </c>
    </row>
    <row r="11" ht="42.0" customHeight="1">
      <c r="A11" s="22" t="s">
        <v>780</v>
      </c>
      <c r="B11" s="25" t="s">
        <v>781</v>
      </c>
      <c r="C11" s="23" t="s">
        <v>745</v>
      </c>
      <c r="D11" s="25" t="s">
        <v>782</v>
      </c>
      <c r="E11" s="25" t="s">
        <v>783</v>
      </c>
      <c r="F11" s="21"/>
      <c r="G11" s="19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conditionalFormatting sqref="G2:G11">
    <cfRule type="cellIs" dxfId="0" priority="1" operator="equal">
      <formula>"Pass"</formula>
    </cfRule>
  </conditionalFormatting>
  <conditionalFormatting sqref="G2:G11">
    <cfRule type="cellIs" dxfId="1" priority="2" operator="equal">
      <formula>"Fail"</formula>
    </cfRule>
  </conditionalFormatting>
  <conditionalFormatting sqref="G2:G11">
    <cfRule type="cellIs" dxfId="2" priority="3" operator="equal">
      <formula>"Unknown"</formula>
    </cfRule>
  </conditionalFormatting>
  <dataValidations>
    <dataValidation type="list" allowBlank="1" sqref="G2:G11">
      <formula1>"Pass,Fail,Unknown"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2026-10-07T21:31:53Z</dcterms:created>
  <dc:creator>openpyxl</dc:creator>
</cp:coreProperties>
</file>